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142" documentId="13_ncr:1_{F3217CF0-E688-479B-A6F8-00A1C8A281EB}" xr6:coauthVersionLast="47" xr6:coauthVersionMax="47" xr10:uidLastSave="{1F55AF74-39C8-4B45-821B-4CFF9D1D33D2}"/>
  <bookViews>
    <workbookView xWindow="-28920" yWindow="-120" windowWidth="29040" windowHeight="15840" activeTab="5" xr2:uid="{00000000-000D-0000-FFFF-FFFF00000000}"/>
  </bookViews>
  <sheets>
    <sheet name="File_description" sheetId="7" r:id="rId1"/>
    <sheet name="Protocol" sheetId="6" r:id="rId2"/>
    <sheet name="GE" sheetId="1" r:id="rId3"/>
    <sheet name="Siemens" sheetId="13" r:id="rId4"/>
    <sheet name="Canon" sheetId="17" r:id="rId5"/>
    <sheet name="Philips" sheetId="27" r:id="rId6"/>
    <sheet name="GE_MSD PMMA" sheetId="26" r:id="rId7"/>
    <sheet name="GE_MSD RA_ALL" sheetId="25" r:id="rId8"/>
    <sheet name="Siemens_MSD_PMMA" sheetId="21" r:id="rId9"/>
    <sheet name="Siemens_MSD_RA" sheetId="16" r:id="rId10"/>
    <sheet name="Canon_MSD PMMA" sheetId="23" r:id="rId11"/>
    <sheet name="Canon_MSD RA" sheetId="24" r:id="rId12"/>
    <sheet name="Philips_MSD_PMMA" sheetId="30" r:id="rId13"/>
    <sheet name="Philips_MSD_RA" sheetId="3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27" l="1"/>
  <c r="Y12" i="27"/>
  <c r="Y11" i="27"/>
  <c r="Y9" i="27"/>
  <c r="Y8" i="27"/>
  <c r="Y7" i="27"/>
  <c r="Y19" i="27"/>
  <c r="Y18" i="27"/>
  <c r="Y17" i="27"/>
  <c r="Y15" i="1"/>
  <c r="Y7" i="1"/>
  <c r="Y8" i="1"/>
  <c r="Y9" i="1"/>
  <c r="Y11" i="1"/>
  <c r="Y10" i="1"/>
  <c r="Y19" i="1"/>
  <c r="Y18" i="1"/>
  <c r="Y17" i="1"/>
  <c r="X14" i="17"/>
  <c r="X13" i="17"/>
  <c r="X12" i="17"/>
  <c r="X7" i="17"/>
  <c r="X19" i="17"/>
  <c r="X18" i="17"/>
  <c r="X17" i="17"/>
  <c r="Y16" i="13"/>
  <c r="Y17" i="13"/>
  <c r="Y15" i="13"/>
  <c r="Y18" i="13"/>
  <c r="Y15" i="27"/>
  <c r="Y14" i="27"/>
  <c r="Y10" i="27"/>
  <c r="X15" i="17"/>
  <c r="X11" i="17"/>
  <c r="X10" i="17"/>
  <c r="X9" i="17"/>
  <c r="X8" i="17"/>
  <c r="Y14" i="1"/>
  <c r="Y13" i="1"/>
  <c r="Y12" i="1"/>
  <c r="Y14" i="13"/>
  <c r="Y13" i="13"/>
  <c r="Y12" i="13"/>
  <c r="Y11" i="13"/>
  <c r="Y10" i="13"/>
  <c r="Y9" i="13"/>
  <c r="Y8" i="13"/>
  <c r="Y7" i="13"/>
  <c r="R13" i="6"/>
  <c r="Z9" i="6"/>
  <c r="S8" i="6" s="1"/>
  <c r="AA9" i="6"/>
  <c r="T8" i="6" s="1"/>
  <c r="AB9" i="6"/>
  <c r="U9" i="6" s="1"/>
  <c r="Y9" i="6"/>
  <c r="R8" i="6" s="1"/>
  <c r="T14" i="6" l="1"/>
  <c r="T15" i="6"/>
  <c r="S15" i="6"/>
  <c r="S14" i="6"/>
  <c r="T12" i="6"/>
  <c r="S12" i="6"/>
  <c r="T11" i="6"/>
  <c r="S11" i="6"/>
  <c r="T10" i="6"/>
  <c r="S10" i="6"/>
  <c r="S9" i="6"/>
  <c r="U13" i="6"/>
  <c r="T13" i="6"/>
  <c r="S13" i="6"/>
  <c r="U8" i="6"/>
  <c r="T9" i="6"/>
  <c r="R15" i="6"/>
  <c r="R14" i="6"/>
  <c r="R12" i="6"/>
  <c r="R11" i="6"/>
  <c r="R10" i="6"/>
  <c r="R9" i="6"/>
  <c r="U15" i="6"/>
  <c r="U14" i="6"/>
  <c r="U12" i="6"/>
  <c r="U11" i="6"/>
  <c r="U10" i="6"/>
</calcChain>
</file>

<file path=xl/sharedStrings.xml><?xml version="1.0" encoding="utf-8"?>
<sst xmlns="http://schemas.openxmlformats.org/spreadsheetml/2006/main" count="710" uniqueCount="148">
  <si>
    <t>Configuration</t>
  </si>
  <si>
    <t>Projections</t>
  </si>
  <si>
    <t>kV</t>
  </si>
  <si>
    <t>Dosimeter/CK calibration</t>
  </si>
  <si>
    <t>Free in air</t>
  </si>
  <si>
    <t>PA</t>
  </si>
  <si>
    <t>80 (low kV)</t>
  </si>
  <si>
    <t>120 (high kV)</t>
  </si>
  <si>
    <t>Effect of the mattress and table attenuation</t>
  </si>
  <si>
    <t>Effect of the phantom scatter*</t>
  </si>
  <si>
    <t xml:space="preserve"> Automated selection</t>
  </si>
  <si>
    <t>Effect of the phantom scatter *; thicker patient</t>
  </si>
  <si>
    <t>Automated selection</t>
  </si>
  <si>
    <t>Effect of the phantom scatter *; thinner patient</t>
  </si>
  <si>
    <t>Effect of the phantom scatter *; paediatric patient</t>
  </si>
  <si>
    <t>Effect of field overlap</t>
  </si>
  <si>
    <t>PA + LAO 20</t>
  </si>
  <si>
    <t>PA + LAO 20 + PA CRAN 15</t>
  </si>
  <si>
    <t>Effect of lateral irradiations</t>
  </si>
  <si>
    <t>Set-up</t>
  </si>
  <si>
    <t>Purpose</t>
  </si>
  <si>
    <t>Proj</t>
  </si>
  <si>
    <t>air/ phantom /table</t>
  </si>
  <si>
    <t>Patient height (cm)</t>
  </si>
  <si>
    <t>Patient weight (kg)</t>
  </si>
  <si>
    <t>Total filtration mmAl</t>
  </si>
  <si>
    <t>Added Filtr.</t>
  </si>
  <si>
    <t>HVL</t>
  </si>
  <si>
    <t>CK</t>
  </si>
  <si>
    <r>
      <rPr>
        <b/>
        <sz val="11"/>
        <color theme="1"/>
        <rFont val="Calibri"/>
        <family val="2"/>
        <scheme val="minor"/>
      </rPr>
      <t>Doses</t>
    </r>
    <r>
      <rPr>
        <sz val="11"/>
        <color theme="1"/>
        <rFont val="Calibri"/>
        <family val="2"/>
        <scheme val="minor"/>
      </rPr>
      <t xml:space="preserve"> are reported in mGy</t>
    </r>
  </si>
  <si>
    <t>Sheet Protocol</t>
  </si>
  <si>
    <r>
      <rPr>
        <b/>
        <sz val="11"/>
        <color theme="1"/>
        <rFont val="Calibri"/>
        <family val="2"/>
        <scheme val="minor"/>
      </rPr>
      <t xml:space="preserve">Mode </t>
    </r>
    <r>
      <rPr>
        <sz val="11"/>
        <color theme="1"/>
        <rFont val="Calibri"/>
        <family val="2"/>
        <scheme val="minor"/>
      </rPr>
      <t>is acquisition</t>
    </r>
  </si>
  <si>
    <t>Sheets Canon, Siemens, GE and Philips</t>
  </si>
  <si>
    <t>One sheet for QC results of each system</t>
  </si>
  <si>
    <t>QC protocol</t>
  </si>
  <si>
    <t>Average</t>
  </si>
  <si>
    <t>Median</t>
  </si>
  <si>
    <t>Min</t>
  </si>
  <si>
    <t>Max</t>
  </si>
  <si>
    <t>Measurement set-up</t>
  </si>
  <si>
    <t>LAO 90</t>
  </si>
  <si>
    <t>On mattress</t>
  </si>
  <si>
    <t>RA</t>
  </si>
  <si>
    <t>Phant thick (cm)</t>
  </si>
  <si>
    <t>Phantom thickness</t>
  </si>
  <si>
    <t>NA</t>
  </si>
  <si>
    <t>PMMA</t>
  </si>
  <si>
    <t>XP exposure</t>
  </si>
  <si>
    <t>Effect of the phantom scatter *</t>
  </si>
  <si>
    <t>Short Name</t>
  </si>
  <si>
    <t>Air_low kV</t>
  </si>
  <si>
    <t>Air_high Kv</t>
  </si>
  <si>
    <t>Table_low kV</t>
  </si>
  <si>
    <t>Table_high kV</t>
  </si>
  <si>
    <t>20cm PMMA</t>
  </si>
  <si>
    <t>25cm PMMA</t>
  </si>
  <si>
    <t>30cm PMMA</t>
  </si>
  <si>
    <t>15cm PMMA</t>
  </si>
  <si>
    <t>10cm PMMA</t>
  </si>
  <si>
    <t>Short name</t>
  </si>
  <si>
    <t>QC dosimeter</t>
  </si>
  <si>
    <t>Modality</t>
  </si>
  <si>
    <t xml:space="preserve">RDM </t>
  </si>
  <si>
    <t>MSD calculations/TLD stat</t>
  </si>
  <si>
    <t>Repetition of high-dose clinical proc</t>
  </si>
  <si>
    <t>See acquisition list</t>
  </si>
  <si>
    <t>MSD calculations/Film</t>
  </si>
  <si>
    <t>MSD calculations/Film stat</t>
  </si>
  <si>
    <t>5'</t>
  </si>
  <si>
    <t>STDEV</t>
  </si>
  <si>
    <t>Stdev</t>
  </si>
  <si>
    <t>SDEV</t>
  </si>
  <si>
    <t>3''</t>
  </si>
  <si>
    <t>air-to-skin factor</t>
  </si>
  <si>
    <t>5''</t>
  </si>
  <si>
    <t>SkinCare</t>
  </si>
  <si>
    <t>Transmission factor</t>
  </si>
  <si>
    <t>kV meas</t>
  </si>
  <si>
    <t>kV disp</t>
  </si>
  <si>
    <t>SDM flat</t>
  </si>
  <si>
    <t>SDM ICRP</t>
  </si>
  <si>
    <t>DoseMap</t>
  </si>
  <si>
    <t>DTS</t>
  </si>
  <si>
    <t>CareMonitor</t>
  </si>
  <si>
    <t>PA LAO</t>
  </si>
  <si>
    <t>PA LAO CRAN</t>
  </si>
  <si>
    <t>LAT</t>
  </si>
  <si>
    <t>DOSE</t>
  </si>
  <si>
    <t>10'</t>
  </si>
  <si>
    <t>Specific table data used in present document "Summary updated.xlsx"</t>
  </si>
  <si>
    <t>Name</t>
  </si>
  <si>
    <t>Version</t>
  </si>
  <si>
    <t>User settings</t>
  </si>
  <si>
    <t>GE</t>
  </si>
  <si>
    <r>
      <t>Modified</t>
    </r>
    <r>
      <rPr>
        <vertAlign val="superscript"/>
        <sz val="11"/>
        <color theme="1"/>
        <rFont val="Calibri"/>
        <family val="2"/>
        <scheme val="minor"/>
      </rPr>
      <t>2</t>
    </r>
  </si>
  <si>
    <t>OpenSkin</t>
  </si>
  <si>
    <t>1.4.4</t>
  </si>
  <si>
    <t>Mattress thickness = 4 cm
Table equivalent thickness = 0.14 mmAl</t>
  </si>
  <si>
    <t>Table/mattress attenuation= 20%</t>
  </si>
  <si>
    <t>Mattress thickness = 2 cm
Table thickness = 0.5 cm</t>
  </si>
  <si>
    <t>Mattress thickness = 0 cm
Table thickness = 2 cm</t>
  </si>
  <si>
    <t>Table/mattress attenuation= 20%
Table and mattress thickness =2.5 cm</t>
  </si>
  <si>
    <t>Philips</t>
  </si>
  <si>
    <t>Siemens</t>
  </si>
  <si>
    <t>Mattress thickness =4 cm</t>
  </si>
  <si>
    <t>Canon</t>
  </si>
  <si>
    <t>Table/mattress attenuation</t>
  </si>
  <si>
    <t>Ka,r correction factor</t>
  </si>
  <si>
    <t>low (~80 kVp)</t>
  </si>
  <si>
    <t>high (~120 kVp)</t>
  </si>
  <si>
    <t>Tube voltage</t>
  </si>
  <si>
    <r>
      <t>Displayed K</t>
    </r>
    <r>
      <rPr>
        <vertAlign val="subscript"/>
        <sz val="11"/>
        <color theme="1"/>
        <rFont val="Calibri"/>
        <family val="2"/>
        <scheme val="minor"/>
      </rPr>
      <t>a,r</t>
    </r>
    <r>
      <rPr>
        <sz val="11"/>
        <color theme="1"/>
        <rFont val="Calibri"/>
        <family val="2"/>
        <scheme val="minor"/>
      </rPr>
      <t xml:space="preserve"> accuracy (displayed/measured)</t>
    </r>
  </si>
  <si>
    <t>CAATSDOSE</t>
  </si>
  <si>
    <t>RDM</t>
  </si>
  <si>
    <t>EM.dose</t>
  </si>
  <si>
    <t>SDM</t>
  </si>
  <si>
    <t>SP1</t>
  </si>
  <si>
    <t>SP2</t>
  </si>
  <si>
    <t>SP3</t>
  </si>
  <si>
    <t>SP4</t>
  </si>
  <si>
    <t>All set-ups with PMMA and RandoAlderson (RA) phantoms include the table and mattress</t>
  </si>
  <si>
    <t>10cm PMMA
63kVp 4.1mmAl</t>
  </si>
  <si>
    <t>15cm PMMA
67kVp 4.4mmAl</t>
  </si>
  <si>
    <t>20cm PMMA
72kVp 4.7mmAl</t>
  </si>
  <si>
    <t>25cm PMMA
78kVp 5.2mmAl</t>
  </si>
  <si>
    <t>30cm PMMA
96kVp 6.1mmAl</t>
  </si>
  <si>
    <t>10cm PMMA
74kVp 4.6mmAl</t>
  </si>
  <si>
    <t>15cm PMMA
74kVp 4.7mmAl</t>
  </si>
  <si>
    <t>20cm PMMA
83kVp 7.2mmAl</t>
  </si>
  <si>
    <t>25cm PMMA
105kVp 6.3mmAl</t>
  </si>
  <si>
    <t>30cm PMMA
125kVp 7.2mmAl</t>
  </si>
  <si>
    <t>10cm PMMA
92kVp 3.8mmAl</t>
  </si>
  <si>
    <t>15cm PMMA
100kVp 4.2mmAl</t>
  </si>
  <si>
    <t>20cm PMMA
108kVp 4.3mmAl</t>
  </si>
  <si>
    <t>25cm PMMA
109kVp 4.2mmAl</t>
  </si>
  <si>
    <t>30cm PMMA
125kVp 4.8mmAl</t>
  </si>
  <si>
    <t>Dose to air</t>
  </si>
  <si>
    <t>10cm PMMA
67kVp 5.3mmAl</t>
  </si>
  <si>
    <t>15cm PMMA
67kVp 4.7mmAl</t>
  </si>
  <si>
    <t>20cm PMMA
67kVp 4.8mmAl</t>
  </si>
  <si>
    <t>25cm PMMA
71kVp 3.4mmAl</t>
  </si>
  <si>
    <t>30cm PMMA
93kVp 4.4mmAl</t>
  </si>
  <si>
    <r>
      <rPr>
        <b/>
        <sz val="11"/>
        <color theme="1"/>
        <rFont val="Calibri"/>
        <family val="2"/>
        <scheme val="minor"/>
      </rPr>
      <t>Ratios</t>
    </r>
    <r>
      <rPr>
        <sz val="11"/>
        <color theme="1"/>
        <rFont val="Calibri"/>
        <family val="2"/>
        <scheme val="minor"/>
      </rPr>
      <t xml:space="preserve"> are reported in %</t>
    </r>
  </si>
  <si>
    <t>MSD_calculations/Ref_dose</t>
  </si>
  <si>
    <r>
      <t>Modality MSD</t>
    </r>
    <r>
      <rPr>
        <sz val="11"/>
        <color theme="1"/>
        <rFont val="Calibri"/>
        <family val="2"/>
        <scheme val="minor"/>
      </rPr>
      <t xml:space="preserve"> refers to the MSD calculations performed directly on the modality such as Canon DTS, GE DoseMap and Siemens XXX</t>
    </r>
  </si>
  <si>
    <t>Dose to skin</t>
  </si>
  <si>
    <t>this calculator</t>
  </si>
  <si>
    <t>This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</si>
</sst>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CCC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3" fillId="3" borderId="0" xfId="0" applyFont="1" applyFill="1"/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0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10" borderId="0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10" borderId="7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10" borderId="6" xfId="0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4" borderId="10" xfId="0" applyFont="1" applyFill="1" applyBorder="1" applyAlignment="1">
      <alignment vertical="center" wrapText="1"/>
    </xf>
    <xf numFmtId="0" fontId="0" fillId="4" borderId="11" xfId="0" applyFont="1" applyFill="1" applyBorder="1" applyAlignment="1">
      <alignment vertical="center" wrapText="1"/>
    </xf>
    <xf numFmtId="0" fontId="0" fillId="6" borderId="10" xfId="0" applyFont="1" applyFill="1" applyBorder="1" applyAlignment="1">
      <alignment vertical="center" wrapText="1"/>
    </xf>
    <xf numFmtId="0" fontId="0" fillId="8" borderId="10" xfId="0" applyFont="1" applyFill="1" applyBorder="1" applyAlignment="1">
      <alignment vertical="center" wrapText="1"/>
    </xf>
    <xf numFmtId="0" fontId="0" fillId="8" borderId="11" xfId="0" applyFont="1" applyFill="1" applyBorder="1" applyAlignment="1">
      <alignment vertical="center" wrapText="1"/>
    </xf>
    <xf numFmtId="0" fontId="0" fillId="8" borderId="12" xfId="0" applyFont="1" applyFill="1" applyBorder="1" applyAlignment="1">
      <alignment vertical="center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4" borderId="12" xfId="0" applyFont="1" applyFill="1" applyBorder="1" applyAlignment="1">
      <alignment vertical="center" wrapText="1"/>
    </xf>
    <xf numFmtId="9" fontId="0" fillId="0" borderId="0" xfId="1" applyFont="1" applyBorder="1" applyAlignment="1">
      <alignment horizontal="left" vertical="top"/>
    </xf>
    <xf numFmtId="9" fontId="0" fillId="0" borderId="7" xfId="1" applyFont="1" applyBorder="1" applyAlignment="1">
      <alignment horizontal="left" vertical="top"/>
    </xf>
    <xf numFmtId="164" fontId="4" fillId="0" borderId="3" xfId="0" applyNumberFormat="1" applyFont="1" applyBorder="1" applyAlignment="1">
      <alignment horizontal="left" vertical="top"/>
    </xf>
    <xf numFmtId="164" fontId="4" fillId="0" borderId="6" xfId="0" applyNumberFormat="1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4" fillId="10" borderId="6" xfId="0" applyNumberFormat="1" applyFont="1" applyFill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10" borderId="6" xfId="0" applyNumberFormat="1" applyFill="1" applyBorder="1" applyAlignment="1">
      <alignment horizontal="left" vertical="top"/>
    </xf>
    <xf numFmtId="1" fontId="0" fillId="10" borderId="0" xfId="0" applyNumberFormat="1" applyFill="1" applyBorder="1" applyAlignment="1">
      <alignment horizontal="left" vertical="top"/>
    </xf>
    <xf numFmtId="1" fontId="0" fillId="0" borderId="0" xfId="0" applyNumberFormat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" fontId="0" fillId="10" borderId="7" xfId="0" applyNumberFormat="1" applyFill="1" applyBorder="1" applyAlignment="1">
      <alignment horizontal="left" vertical="top"/>
    </xf>
    <xf numFmtId="9" fontId="0" fillId="0" borderId="6" xfId="1" applyFont="1" applyBorder="1" applyAlignment="1">
      <alignment horizontal="left" vertical="top"/>
    </xf>
    <xf numFmtId="9" fontId="0" fillId="0" borderId="8" xfId="1" applyFont="1" applyBorder="1" applyAlignment="1">
      <alignment horizontal="left" vertical="top"/>
    </xf>
    <xf numFmtId="9" fontId="0" fillId="0" borderId="1" xfId="1" applyFont="1" applyBorder="1" applyAlignment="1">
      <alignment horizontal="left" vertical="top"/>
    </xf>
    <xf numFmtId="9" fontId="0" fillId="0" borderId="9" xfId="1" applyFont="1" applyBorder="1" applyAlignment="1">
      <alignment horizontal="left" vertical="top"/>
    </xf>
    <xf numFmtId="9" fontId="0" fillId="10" borderId="6" xfId="1" applyFont="1" applyFill="1" applyBorder="1" applyAlignment="1">
      <alignment horizontal="left" vertical="top"/>
    </xf>
    <xf numFmtId="9" fontId="0" fillId="10" borderId="0" xfId="1" applyFont="1" applyFill="1" applyBorder="1" applyAlignment="1">
      <alignment horizontal="left" vertical="top"/>
    </xf>
    <xf numFmtId="9" fontId="0" fillId="10" borderId="7" xfId="1" applyFont="1" applyFill="1" applyBorder="1" applyAlignment="1">
      <alignment horizontal="left" vertical="top"/>
    </xf>
    <xf numFmtId="0" fontId="0" fillId="0" borderId="0" xfId="0" applyFill="1"/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/>
    </xf>
    <xf numFmtId="0" fontId="0" fillId="0" borderId="0" xfId="0" applyBorder="1"/>
    <xf numFmtId="9" fontId="4" fillId="0" borderId="6" xfId="1" applyFont="1" applyBorder="1" applyAlignment="1">
      <alignment horizontal="left" vertical="top"/>
    </xf>
    <xf numFmtId="9" fontId="4" fillId="10" borderId="6" xfId="1" applyFont="1" applyFill="1" applyBorder="1" applyAlignment="1">
      <alignment horizontal="left" vertical="top"/>
    </xf>
    <xf numFmtId="9" fontId="0" fillId="10" borderId="0" xfId="1" applyFont="1" applyFill="1" applyBorder="1" applyAlignment="1">
      <alignment horizontal="left" vertical="top" wrapText="1"/>
    </xf>
    <xf numFmtId="9" fontId="4" fillId="0" borderId="8" xfId="1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10" xfId="0" applyBorder="1"/>
    <xf numFmtId="9" fontId="0" fillId="10" borderId="6" xfId="1" applyFont="1" applyFill="1" applyBorder="1" applyAlignment="1">
      <alignment horizontal="left" vertical="top" wrapText="1"/>
    </xf>
    <xf numFmtId="9" fontId="0" fillId="10" borderId="3" xfId="1" applyFont="1" applyFill="1" applyBorder="1" applyAlignment="1">
      <alignment horizontal="left" vertical="top" wrapText="1"/>
    </xf>
    <xf numFmtId="9" fontId="0" fillId="10" borderId="4" xfId="1" applyFont="1" applyFill="1" applyBorder="1" applyAlignment="1">
      <alignment horizontal="left" vertical="top" wrapText="1"/>
    </xf>
    <xf numFmtId="9" fontId="0" fillId="10" borderId="4" xfId="1" applyFont="1" applyFill="1" applyBorder="1" applyAlignment="1">
      <alignment horizontal="left" vertical="top"/>
    </xf>
    <xf numFmtId="9" fontId="0" fillId="10" borderId="5" xfId="1" applyFont="1" applyFill="1" applyBorder="1" applyAlignment="1">
      <alignment horizontal="left" vertical="top"/>
    </xf>
    <xf numFmtId="9" fontId="0" fillId="10" borderId="3" xfId="1" applyFont="1" applyFill="1" applyBorder="1" applyAlignment="1">
      <alignment horizontal="left" vertical="top"/>
    </xf>
    <xf numFmtId="1" fontId="0" fillId="0" borderId="6" xfId="0" applyNumberFormat="1" applyBorder="1"/>
    <xf numFmtId="1" fontId="0" fillId="0" borderId="7" xfId="0" applyNumberFormat="1" applyBorder="1" applyAlignment="1">
      <alignment horizontal="left" vertical="top"/>
    </xf>
    <xf numFmtId="164" fontId="0" fillId="0" borderId="0" xfId="0" applyNumberFormat="1" applyBorder="1" applyAlignment="1">
      <alignment horizontal="left" vertical="top"/>
    </xf>
    <xf numFmtId="164" fontId="0" fillId="10" borderId="0" xfId="0" applyNumberFormat="1" applyFill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" fontId="0" fillId="0" borderId="9" xfId="0" applyNumberFormat="1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9" fontId="0" fillId="0" borderId="0" xfId="1" applyFont="1" applyBorder="1"/>
    <xf numFmtId="9" fontId="0" fillId="0" borderId="7" xfId="1" applyFont="1" applyBorder="1"/>
    <xf numFmtId="9" fontId="0" fillId="0" borderId="6" xfId="1" applyFont="1" applyBorder="1"/>
    <xf numFmtId="0" fontId="0" fillId="7" borderId="0" xfId="0" applyFont="1" applyFill="1" applyBorder="1" applyAlignment="1">
      <alignment vertical="center" wrapText="1"/>
    </xf>
    <xf numFmtId="2" fontId="2" fillId="2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9" fontId="0" fillId="0" borderId="0" xfId="0" applyNumberFormat="1"/>
    <xf numFmtId="0" fontId="0" fillId="8" borderId="0" xfId="0" applyFont="1" applyFill="1" applyBorder="1" applyAlignment="1">
      <alignment vertical="center" wrapText="1"/>
    </xf>
    <xf numFmtId="1" fontId="0" fillId="0" borderId="0" xfId="0" applyNumberFormat="1" applyFill="1" applyBorder="1" applyAlignment="1">
      <alignment horizontal="left" vertical="top"/>
    </xf>
    <xf numFmtId="0" fontId="0" fillId="11" borderId="1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12" borderId="0" xfId="0" applyFill="1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/>
    <xf numFmtId="0" fontId="2" fillId="0" borderId="0" xfId="0" applyFont="1" applyAlignment="1">
      <alignment wrapText="1"/>
    </xf>
    <xf numFmtId="0" fontId="0" fillId="0" borderId="14" xfId="0" applyBorder="1" applyAlignment="1">
      <alignment horizontal="justify" vertical="center" wrapText="1"/>
    </xf>
    <xf numFmtId="0" fontId="0" fillId="12" borderId="0" xfId="0" applyFill="1" applyAlignment="1">
      <alignment horizontal="justify" vertical="center" wrapText="1"/>
    </xf>
    <xf numFmtId="0" fontId="3" fillId="12" borderId="0" xfId="0" applyFont="1" applyFill="1" applyAlignment="1">
      <alignment horizontal="justify" vertical="center" wrapText="1"/>
    </xf>
    <xf numFmtId="9" fontId="0" fillId="12" borderId="0" xfId="0" applyNumberFormat="1" applyFill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9" fontId="0" fillId="0" borderId="0" xfId="0" applyNumberFormat="1" applyAlignment="1">
      <alignment horizontal="justify" vertical="center" wrapText="1"/>
    </xf>
    <xf numFmtId="2" fontId="6" fillId="0" borderId="0" xfId="0" applyNumberFormat="1" applyFont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wrapText="1"/>
    </xf>
    <xf numFmtId="2" fontId="6" fillId="0" borderId="0" xfId="0" applyNumberFormat="1" applyFont="1" applyFill="1" applyAlignment="1">
      <alignment wrapText="1"/>
    </xf>
    <xf numFmtId="0" fontId="4" fillId="11" borderId="11" xfId="0" applyFont="1" applyFill="1" applyBorder="1" applyAlignment="1">
      <alignment vertical="center" wrapText="1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4" borderId="13" xfId="0" applyFont="1" applyFill="1" applyBorder="1" applyAlignment="1">
      <alignment vertical="center" wrapText="1"/>
    </xf>
    <xf numFmtId="1" fontId="0" fillId="0" borderId="15" xfId="0" applyNumberFormat="1" applyBorder="1" applyAlignment="1">
      <alignment horizontal="left" vertical="top"/>
    </xf>
    <xf numFmtId="1" fontId="0" fillId="10" borderId="16" xfId="0" applyNumberFormat="1" applyFill="1" applyBorder="1" applyAlignment="1">
      <alignment horizontal="left" vertical="top"/>
    </xf>
    <xf numFmtId="1" fontId="0" fillId="0" borderId="16" xfId="0" applyNumberFormat="1" applyBorder="1" applyAlignment="1">
      <alignment horizontal="left" vertical="top"/>
    </xf>
    <xf numFmtId="1" fontId="0" fillId="0" borderId="16" xfId="0" applyNumberFormat="1" applyFill="1" applyBorder="1" applyAlignment="1">
      <alignment horizontal="left" vertical="top"/>
    </xf>
    <xf numFmtId="1" fontId="0" fillId="0" borderId="17" xfId="0" applyNumberFormat="1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164" fontId="0" fillId="10" borderId="6" xfId="0" applyNumberFormat="1" applyFill="1" applyBorder="1" applyAlignment="1">
      <alignment horizontal="left" vertical="top"/>
    </xf>
    <xf numFmtId="164" fontId="0" fillId="0" borderId="6" xfId="0" applyNumberFormat="1" applyBorder="1" applyAlignment="1">
      <alignment horizontal="left" vertical="top"/>
    </xf>
    <xf numFmtId="1" fontId="0" fillId="0" borderId="6" xfId="0" applyNumberFormat="1" applyBorder="1" applyAlignment="1">
      <alignment horizontal="left" vertical="top"/>
    </xf>
    <xf numFmtId="1" fontId="0" fillId="0" borderId="8" xfId="0" applyNumberFormat="1" applyBorder="1" applyAlignment="1">
      <alignment horizontal="left" vertical="top"/>
    </xf>
    <xf numFmtId="1" fontId="0" fillId="0" borderId="6" xfId="0" applyNumberForma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chartsheet" Target="chartsheets/sheet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chartsheet" Target="chartsheets/sheet4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3.xml"/><Relationship Id="rId14" Type="http://schemas.openxmlformats.org/officeDocument/2006/relationships/chartsheet" Target="chart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250097583955852E-2"/>
          <c:y val="1.2329511626481273E-2"/>
          <c:w val="0.93970716737330906"/>
          <c:h val="0.9153033903595692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GE!$Q$2</c:f>
              <c:strCache>
                <c:ptCount val="1"/>
                <c:pt idx="0">
                  <c:v>CAATSDOSE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GE!$F$7:$F$11</c:f>
              <c:strCache>
                <c:ptCount val="5"/>
                <c:pt idx="0">
                  <c:v>10cm PMMA
67kVp 5.3mmAl</c:v>
                </c:pt>
                <c:pt idx="1">
                  <c:v>15cm PMMA
67kVp 4.7mmAl</c:v>
                </c:pt>
                <c:pt idx="2">
                  <c:v>20cm PMMA
67kVp 4.8mmAl</c:v>
                </c:pt>
                <c:pt idx="3">
                  <c:v>25cm PMMA
71kVp 3.4mmAl</c:v>
                </c:pt>
                <c:pt idx="4">
                  <c:v>30cm PMMA
93kVp 4.4mmAl</c:v>
                </c:pt>
              </c:strCache>
              <c:extLst xmlns:c15="http://schemas.microsoft.com/office/drawing/2012/chart"/>
            </c:strRef>
          </c:cat>
          <c:val>
            <c:numRef>
              <c:f>GE!$Q$7:$Q$11</c:f>
              <c:numCache>
                <c:formatCode>0%</c:formatCode>
                <c:ptCount val="5"/>
                <c:pt idx="0">
                  <c:v>1.0793902817547538</c:v>
                </c:pt>
                <c:pt idx="1">
                  <c:v>1.1994172033250621</c:v>
                </c:pt>
                <c:pt idx="2">
                  <c:v>1.2072494514543644</c:v>
                </c:pt>
                <c:pt idx="3">
                  <c:v>1.2887315834364228</c:v>
                </c:pt>
                <c:pt idx="4">
                  <c:v>1.2374643912911572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9DD-4E46-8F31-E78430F1246A}"/>
            </c:ext>
          </c:extLst>
        </c:ser>
        <c:ser>
          <c:idx val="4"/>
          <c:order val="2"/>
          <c:tx>
            <c:strRef>
              <c:f>GE!$S$2</c:f>
              <c:strCache>
                <c:ptCount val="1"/>
                <c:pt idx="0">
                  <c:v>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GE!$F$7:$F$11</c:f>
              <c:strCache>
                <c:ptCount val="5"/>
                <c:pt idx="0">
                  <c:v>10cm PMMA
67kVp 5.3mmAl</c:v>
                </c:pt>
                <c:pt idx="1">
                  <c:v>15cm PMMA
67kVp 4.7mmAl</c:v>
                </c:pt>
                <c:pt idx="2">
                  <c:v>20cm PMMA
67kVp 4.8mmAl</c:v>
                </c:pt>
                <c:pt idx="3">
                  <c:v>25cm PMMA
71kVp 3.4mmAl</c:v>
                </c:pt>
                <c:pt idx="4">
                  <c:v>30cm PMMA
93kVp 4.4mmAl</c:v>
                </c:pt>
              </c:strCache>
              <c:extLst xmlns:c15="http://schemas.microsoft.com/office/drawing/2012/chart"/>
            </c:strRef>
          </c:cat>
          <c:val>
            <c:numRef>
              <c:f>GE!$S$7:$S$11</c:f>
              <c:numCache>
                <c:formatCode>0%</c:formatCode>
                <c:ptCount val="5"/>
                <c:pt idx="0">
                  <c:v>0.79982470735795963</c:v>
                </c:pt>
                <c:pt idx="1">
                  <c:v>0.84676985424353524</c:v>
                </c:pt>
                <c:pt idx="2">
                  <c:v>0.89133668867740545</c:v>
                </c:pt>
                <c:pt idx="3">
                  <c:v>0.9551752227911734</c:v>
                </c:pt>
                <c:pt idx="4">
                  <c:v>1.0045110929909482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9DD-4E46-8F31-E78430F1246A}"/>
            </c:ext>
          </c:extLst>
        </c:ser>
        <c:ser>
          <c:idx val="1"/>
          <c:order val="3"/>
          <c:tx>
            <c:strRef>
              <c:f>GE!$P$2</c:f>
              <c:strCache>
                <c:ptCount val="1"/>
                <c:pt idx="0">
                  <c:v>DoseMap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GE!$F$7:$F$11</c:f>
              <c:strCache>
                <c:ptCount val="5"/>
                <c:pt idx="0">
                  <c:v>10cm PMMA
67kVp 5.3mmAl</c:v>
                </c:pt>
                <c:pt idx="1">
                  <c:v>15cm PMMA
67kVp 4.7mmAl</c:v>
                </c:pt>
                <c:pt idx="2">
                  <c:v>20cm PMMA
67kVp 4.8mmAl</c:v>
                </c:pt>
                <c:pt idx="3">
                  <c:v>25cm PMMA
71kVp 3.4mmAl</c:v>
                </c:pt>
                <c:pt idx="4">
                  <c:v>30cm PMMA
93kVp 4.4mmAl</c:v>
                </c:pt>
              </c:strCache>
            </c:strRef>
          </c:cat>
          <c:val>
            <c:numRef>
              <c:f>GE!$P$7:$P$11</c:f>
              <c:numCache>
                <c:formatCode>0%</c:formatCode>
                <c:ptCount val="5"/>
                <c:pt idx="0">
                  <c:v>1.3884956919734179</c:v>
                </c:pt>
                <c:pt idx="1">
                  <c:v>1.547360491543976</c:v>
                </c:pt>
                <c:pt idx="2">
                  <c:v>1.547360491543976</c:v>
                </c:pt>
                <c:pt idx="3">
                  <c:v>1.0909106491878138</c:v>
                </c:pt>
                <c:pt idx="4">
                  <c:v>0.96879514301793679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DD-4E46-8F31-E78430F1246A}"/>
            </c:ext>
          </c:extLst>
        </c:ser>
        <c:ser>
          <c:idx val="7"/>
          <c:order val="4"/>
          <c:tx>
            <c:strRef>
              <c:f>GE!$U$2</c:f>
              <c:strCache>
                <c:ptCount val="1"/>
                <c:pt idx="0">
                  <c:v>EM.dose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GE!$F$7:$F$11</c:f>
              <c:strCache>
                <c:ptCount val="5"/>
                <c:pt idx="0">
                  <c:v>10cm PMMA
67kVp 5.3mmAl</c:v>
                </c:pt>
                <c:pt idx="1">
                  <c:v>15cm PMMA
67kVp 4.7mmAl</c:v>
                </c:pt>
                <c:pt idx="2">
                  <c:v>20cm PMMA
67kVp 4.8mmAl</c:v>
                </c:pt>
                <c:pt idx="3">
                  <c:v>25cm PMMA
71kVp 3.4mmAl</c:v>
                </c:pt>
                <c:pt idx="4">
                  <c:v>30cm PMMA
93kVp 4.4mmAl</c:v>
                </c:pt>
              </c:strCache>
            </c:strRef>
          </c:cat>
          <c:val>
            <c:numRef>
              <c:f>GE!$U$7:$U$11</c:f>
              <c:numCache>
                <c:formatCode>0%</c:formatCode>
                <c:ptCount val="5"/>
                <c:pt idx="0">
                  <c:v>0.95878986794535404</c:v>
                </c:pt>
                <c:pt idx="1">
                  <c:v>1.0684898555520397</c:v>
                </c:pt>
                <c:pt idx="2">
                  <c:v>1.0762890515779671</c:v>
                </c:pt>
                <c:pt idx="3">
                  <c:v>1.1414972317106356</c:v>
                </c:pt>
                <c:pt idx="4">
                  <c:v>1.0710134477584041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DD-4E46-8F31-E78430F1246A}"/>
            </c:ext>
          </c:extLst>
        </c:ser>
        <c:ser>
          <c:idx val="8"/>
          <c:order val="5"/>
          <c:tx>
            <c:strRef>
              <c:f>GE!$V$2</c:f>
              <c:strCache>
                <c:ptCount val="1"/>
                <c:pt idx="0">
                  <c:v>OpenSkin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GE!$F$7:$F$11</c:f>
              <c:strCache>
                <c:ptCount val="5"/>
                <c:pt idx="0">
                  <c:v>10cm PMMA
67kVp 5.3mmAl</c:v>
                </c:pt>
                <c:pt idx="1">
                  <c:v>15cm PMMA
67kVp 4.7mmAl</c:v>
                </c:pt>
                <c:pt idx="2">
                  <c:v>20cm PMMA
67kVp 4.8mmAl</c:v>
                </c:pt>
                <c:pt idx="3">
                  <c:v>25cm PMMA
71kVp 3.4mmAl</c:v>
                </c:pt>
                <c:pt idx="4">
                  <c:v>30cm PMMA
93kVp 4.4mmAl</c:v>
                </c:pt>
              </c:strCache>
            </c:strRef>
          </c:cat>
          <c:val>
            <c:numRef>
              <c:f>GE!$V$7:$V$11</c:f>
              <c:numCache>
                <c:formatCode>0%</c:formatCode>
                <c:ptCount val="5"/>
                <c:pt idx="0">
                  <c:v>1.2061306677896291</c:v>
                </c:pt>
                <c:pt idx="1">
                  <c:v>1.3402395512454486</c:v>
                </c:pt>
                <c:pt idx="2">
                  <c:v>1.3489914970579029</c:v>
                </c:pt>
                <c:pt idx="3">
                  <c:v>1.4624827568236274</c:v>
                </c:pt>
                <c:pt idx="4">
                  <c:v>1.3526563613003355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DD-4E46-8F31-E78430F1246A}"/>
            </c:ext>
          </c:extLst>
        </c:ser>
        <c:ser>
          <c:idx val="5"/>
          <c:order val="6"/>
          <c:tx>
            <c:strRef>
              <c:f>GE!$T$2</c:f>
              <c:strCache>
                <c:ptCount val="1"/>
                <c:pt idx="0">
                  <c:v>RDM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GE!$F$7:$F$11</c:f>
              <c:strCache>
                <c:ptCount val="5"/>
                <c:pt idx="0">
                  <c:v>10cm PMMA
67kVp 5.3mmAl</c:v>
                </c:pt>
                <c:pt idx="1">
                  <c:v>15cm PMMA
67kVp 4.7mmAl</c:v>
                </c:pt>
                <c:pt idx="2">
                  <c:v>20cm PMMA
67kVp 4.8mmAl</c:v>
                </c:pt>
                <c:pt idx="3">
                  <c:v>25cm PMMA
71kVp 3.4mmAl</c:v>
                </c:pt>
                <c:pt idx="4">
                  <c:v>30cm PMMA
93kVp 4.4mmAl</c:v>
                </c:pt>
              </c:strCache>
            </c:strRef>
          </c:cat>
          <c:val>
            <c:numRef>
              <c:f>GE!$T$7:$T$11</c:f>
              <c:numCache>
                <c:formatCode>0%</c:formatCode>
                <c:ptCount val="5"/>
                <c:pt idx="0">
                  <c:v>0.95970966635881583</c:v>
                </c:pt>
                <c:pt idx="1">
                  <c:v>1.0663952143336479</c:v>
                </c:pt>
                <c:pt idx="2">
                  <c:v>1.0733476405053317</c:v>
                </c:pt>
                <c:pt idx="3">
                  <c:v>1.1353262970476035</c:v>
                </c:pt>
                <c:pt idx="4">
                  <c:v>1.0517603184760778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DD-4E46-8F31-E78430F1246A}"/>
            </c:ext>
          </c:extLst>
        </c:ser>
        <c:ser>
          <c:idx val="3"/>
          <c:order val="7"/>
          <c:tx>
            <c:strRef>
              <c:f>GE!$R$2</c:f>
              <c:strCache>
                <c:ptCount val="1"/>
                <c:pt idx="0">
                  <c:v>SDM flat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GE!$F$7:$F$11</c:f>
              <c:strCache>
                <c:ptCount val="5"/>
                <c:pt idx="0">
                  <c:v>10cm PMMA
67kVp 5.3mmAl</c:v>
                </c:pt>
                <c:pt idx="1">
                  <c:v>15cm PMMA
67kVp 4.7mmAl</c:v>
                </c:pt>
                <c:pt idx="2">
                  <c:v>20cm PMMA
67kVp 4.8mmAl</c:v>
                </c:pt>
                <c:pt idx="3">
                  <c:v>25cm PMMA
71kVp 3.4mmAl</c:v>
                </c:pt>
                <c:pt idx="4">
                  <c:v>30cm PMMA
93kVp 4.4mmAl</c:v>
                </c:pt>
              </c:strCache>
            </c:strRef>
          </c:cat>
          <c:val>
            <c:numRef>
              <c:f>GE!$R$7:$R$11</c:f>
              <c:numCache>
                <c:formatCode>0%</c:formatCode>
                <c:ptCount val="5"/>
                <c:pt idx="0">
                  <c:v>0.91875864134208818</c:v>
                </c:pt>
                <c:pt idx="1">
                  <c:v>1.0209370432111002</c:v>
                </c:pt>
                <c:pt idx="2">
                  <c:v>1.027577501541747</c:v>
                </c:pt>
                <c:pt idx="3">
                  <c:v>1.1115474612381175</c:v>
                </c:pt>
                <c:pt idx="4">
                  <c:v>1.1453658706970122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DD-4E46-8F31-E78430F1246A}"/>
            </c:ext>
          </c:extLst>
        </c:ser>
        <c:ser>
          <c:idx val="0"/>
          <c:order val="8"/>
          <c:tx>
            <c:strRef>
              <c:f>GE!$X$2</c:f>
              <c:strCache>
                <c:ptCount val="1"/>
                <c:pt idx="0">
                  <c:v>SDM ICRP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GE!$F$7:$F$11</c:f>
              <c:strCache>
                <c:ptCount val="5"/>
                <c:pt idx="0">
                  <c:v>10cm PMMA
67kVp 5.3mmAl</c:v>
                </c:pt>
                <c:pt idx="1">
                  <c:v>15cm PMMA
67kVp 4.7mmAl</c:v>
                </c:pt>
                <c:pt idx="2">
                  <c:v>20cm PMMA
67kVp 4.8mmAl</c:v>
                </c:pt>
                <c:pt idx="3">
                  <c:v>25cm PMMA
71kVp 3.4mmAl</c:v>
                </c:pt>
                <c:pt idx="4">
                  <c:v>30cm PMMA
93kVp 4.4mmAl</c:v>
                </c:pt>
              </c:strCache>
            </c:strRef>
          </c:cat>
          <c:val>
            <c:numRef>
              <c:f>GE!$X$7:$X$11</c:f>
              <c:numCache>
                <c:formatCode>0%</c:formatCode>
                <c:ptCount val="5"/>
                <c:pt idx="0">
                  <c:v>0.90924072732452854</c:v>
                </c:pt>
                <c:pt idx="1">
                  <c:v>1.0104192702847068</c:v>
                </c:pt>
                <c:pt idx="2">
                  <c:v>1.0170151617809196</c:v>
                </c:pt>
                <c:pt idx="3">
                  <c:v>1.1002361757050643</c:v>
                </c:pt>
                <c:pt idx="4">
                  <c:v>1.1313027153951389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D-49F7-8E70-D4D7AD666C13}"/>
            </c:ext>
          </c:extLst>
        </c:ser>
        <c:ser>
          <c:idx val="9"/>
          <c:order val="9"/>
          <c:tx>
            <c:strRef>
              <c:f>GE!$W$2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GE!$F$7:$F$11</c:f>
              <c:strCache>
                <c:ptCount val="5"/>
                <c:pt idx="0">
                  <c:v>10cm PMMA
67kVp 5.3mmAl</c:v>
                </c:pt>
                <c:pt idx="1">
                  <c:v>15cm PMMA
67kVp 4.7mmAl</c:v>
                </c:pt>
                <c:pt idx="2">
                  <c:v>20cm PMMA
67kVp 4.8mmAl</c:v>
                </c:pt>
                <c:pt idx="3">
                  <c:v>25cm PMMA
71kVp 3.4mmAl</c:v>
                </c:pt>
                <c:pt idx="4">
                  <c:v>30cm PMMA
93kVp 4.4mmAl</c:v>
                </c:pt>
              </c:strCache>
            </c:strRef>
          </c:cat>
          <c:val>
            <c:numRef>
              <c:f>GE!$W$7:$W$11</c:f>
              <c:numCache>
                <c:formatCode>0%</c:formatCode>
                <c:ptCount val="5"/>
                <c:pt idx="0">
                  <c:v>0.90280213843029677</c:v>
                </c:pt>
                <c:pt idx="1">
                  <c:v>1.0021966893316576</c:v>
                </c:pt>
                <c:pt idx="2">
                  <c:v>1.009995885357585</c:v>
                </c:pt>
                <c:pt idx="3">
                  <c:v>1.0865118159249596</c:v>
                </c:pt>
                <c:pt idx="4">
                  <c:v>1.0710134477584041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DD-4E46-8F31-E78430F12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523520"/>
        <c:axId val="585520240"/>
        <c:extLst/>
      </c:barChart>
      <c:scatterChart>
        <c:scatterStyle val="lineMarker"/>
        <c:varyColors val="0"/>
        <c:ser>
          <c:idx val="10"/>
          <c:order val="0"/>
          <c:tx>
            <c:strRef>
              <c:f>GE!$Z$2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GE!$AA$7:$AA$11</c:f>
                <c:numCache>
                  <c:formatCode>General</c:formatCode>
                  <c:ptCount val="5"/>
                  <c:pt idx="0">
                    <c:v>0.18224751008203779</c:v>
                  </c:pt>
                  <c:pt idx="1">
                    <c:v>0.21014137024468907</c:v>
                  </c:pt>
                  <c:pt idx="2">
                    <c:v>0.20271022870621122</c:v>
                  </c:pt>
                  <c:pt idx="3">
                    <c:v>0.14429038608984901</c:v>
                  </c:pt>
                  <c:pt idx="4">
                    <c:v>0.11943531136213384</c:v>
                  </c:pt>
                </c:numCache>
              </c:numRef>
            </c:plus>
            <c:minus>
              <c:numRef>
                <c:f>GE!$AA$7:$AA$11</c:f>
                <c:numCache>
                  <c:formatCode>General</c:formatCode>
                  <c:ptCount val="5"/>
                  <c:pt idx="0">
                    <c:v>0.18224751008203779</c:v>
                  </c:pt>
                  <c:pt idx="1">
                    <c:v>0.21014137024468907</c:v>
                  </c:pt>
                  <c:pt idx="2">
                    <c:v>0.20271022870621122</c:v>
                  </c:pt>
                  <c:pt idx="3">
                    <c:v>0.14429038608984901</c:v>
                  </c:pt>
                  <c:pt idx="4">
                    <c:v>0.11943531136213384</c:v>
                  </c:pt>
                </c:numCache>
              </c:numRef>
            </c:minus>
            <c:spPr>
              <a:noFill/>
              <a:ln w="38100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yVal>
            <c:numRef>
              <c:f>GE!$Z$7:$Z$11</c:f>
              <c:numCache>
                <c:formatCode>0%</c:formatCode>
                <c:ptCount val="5"/>
                <c:pt idx="0">
                  <c:v>1.0136824878085382</c:v>
                </c:pt>
                <c:pt idx="1">
                  <c:v>1.1224694636745749</c:v>
                </c:pt>
                <c:pt idx="2">
                  <c:v>1.1332403743885775</c:v>
                </c:pt>
                <c:pt idx="3">
                  <c:v>1.1524910215406019</c:v>
                </c:pt>
                <c:pt idx="4">
                  <c:v>1.1148758654094904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9DD-4E46-8F31-E78430F12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523520"/>
        <c:axId val="585520240"/>
      </c:scatterChart>
      <c:catAx>
        <c:axId val="585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240"/>
        <c:crosses val="autoZero"/>
        <c:auto val="1"/>
        <c:lblAlgn val="ctr"/>
        <c:lblOffset val="100"/>
        <c:noMultiLvlLbl val="0"/>
      </c:catAx>
      <c:valAx>
        <c:axId val="585520240"/>
        <c:scaling>
          <c:orientation val="minMax"/>
          <c:min val="0.60000000000000009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016631497190139"/>
          <c:y val="2.7241407916391996E-2"/>
          <c:w val="0.87846596321969894"/>
          <c:h val="7.2269538437789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250097583955852E-2"/>
          <c:y val="1.2329511626481273E-2"/>
          <c:w val="0.93970716737330906"/>
          <c:h val="0.9153033903595692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GE!$Q$2</c:f>
              <c:strCache>
                <c:ptCount val="1"/>
                <c:pt idx="0">
                  <c:v>CAATSDOSE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  <c:extLst xmlns:c15="http://schemas.microsoft.com/office/drawing/2012/chart"/>
            </c:strRef>
          </c:cat>
          <c:val>
            <c:numRef>
              <c:f>(GE!$Q$12:$Q$15,GE!$Q$17:$Q$19)</c:f>
              <c:numCache>
                <c:formatCode>0%</c:formatCode>
                <c:ptCount val="7"/>
                <c:pt idx="0">
                  <c:v>0.90814625846100616</c:v>
                </c:pt>
                <c:pt idx="1">
                  <c:v>0.90877629474801358</c:v>
                </c:pt>
                <c:pt idx="2">
                  <c:v>1.0081257746460754</c:v>
                </c:pt>
                <c:pt idx="3">
                  <c:v>0.75484320141810257</c:v>
                </c:pt>
                <c:pt idx="4">
                  <c:v>0.78069350551441996</c:v>
                </c:pt>
                <c:pt idx="5">
                  <c:v>0.80218199028928372</c:v>
                </c:pt>
                <c:pt idx="6">
                  <c:v>0.80405810069917349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239-4666-8A02-F7BC1F69C539}"/>
            </c:ext>
          </c:extLst>
        </c:ser>
        <c:ser>
          <c:idx val="4"/>
          <c:order val="2"/>
          <c:tx>
            <c:strRef>
              <c:f>GE!$S$2</c:f>
              <c:strCache>
                <c:ptCount val="1"/>
                <c:pt idx="0">
                  <c:v>DOSE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(GE!$S$12:$S$15,GE!$S$17:$S$19)</c:f>
              <c:numCache>
                <c:formatCode>0%</c:formatCode>
                <c:ptCount val="7"/>
                <c:pt idx="0">
                  <c:v>0.65393940438639708</c:v>
                </c:pt>
                <c:pt idx="1">
                  <c:v>0.61287552928406597</c:v>
                </c:pt>
                <c:pt idx="2">
                  <c:v>0.69915191689560641</c:v>
                </c:pt>
                <c:pt idx="3">
                  <c:v>1.016008278670097</c:v>
                </c:pt>
                <c:pt idx="4">
                  <c:v>0.70941609243911741</c:v>
                </c:pt>
                <c:pt idx="5">
                  <c:v>0.6685601132969784</c:v>
                </c:pt>
                <c:pt idx="6">
                  <c:v>0.59215650590166924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39-4666-8A02-F7BC1F69C539}"/>
            </c:ext>
          </c:extLst>
        </c:ser>
        <c:ser>
          <c:idx val="1"/>
          <c:order val="3"/>
          <c:tx>
            <c:strRef>
              <c:f>GE!$P$2</c:f>
              <c:strCache>
                <c:ptCount val="1"/>
                <c:pt idx="0">
                  <c:v>DoseMap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(GE!$P$12:$P$15,GE!$P$17:$P$19)</c:f>
              <c:numCache>
                <c:formatCode>0%</c:formatCode>
                <c:ptCount val="7"/>
                <c:pt idx="0">
                  <c:v>1.1461545637649275</c:v>
                </c:pt>
                <c:pt idx="1">
                  <c:v>1.1636974112281202</c:v>
                </c:pt>
                <c:pt idx="2">
                  <c:v>1.2642997163862217</c:v>
                </c:pt>
                <c:pt idx="3">
                  <c:v>1.2063660561643246</c:v>
                </c:pt>
                <c:pt idx="4">
                  <c:v>1.1406297956864242</c:v>
                </c:pt>
                <c:pt idx="5">
                  <c:v>1.0152209127843006</c:v>
                </c:pt>
                <c:pt idx="6">
                  <c:v>0.90713337074298261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9-4666-8A02-F7BC1F69C539}"/>
            </c:ext>
          </c:extLst>
        </c:ser>
        <c:ser>
          <c:idx val="7"/>
          <c:order val="4"/>
          <c:tx>
            <c:strRef>
              <c:f>GE!$U$2</c:f>
              <c:strCache>
                <c:ptCount val="1"/>
                <c:pt idx="0">
                  <c:v>EM.dose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(GE!$U$12:$U$15,GE!$U$17:$U$19)</c:f>
              <c:numCache>
                <c:formatCode>0%</c:formatCode>
                <c:ptCount val="7"/>
                <c:pt idx="0">
                  <c:v>0.84949243781348294</c:v>
                </c:pt>
                <c:pt idx="1">
                  <c:v>0.83568132065921064</c:v>
                </c:pt>
                <c:pt idx="2">
                  <c:v>0.92783285638021096</c:v>
                </c:pt>
                <c:pt idx="3">
                  <c:v>0</c:v>
                </c:pt>
                <c:pt idx="4">
                  <c:v>1.1721014409637478</c:v>
                </c:pt>
                <c:pt idx="5">
                  <c:v>1.0280659334795896</c:v>
                </c:pt>
                <c:pt idx="6">
                  <c:v>0.90839327820234772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39-4666-8A02-F7BC1F69C539}"/>
            </c:ext>
          </c:extLst>
        </c:ser>
        <c:ser>
          <c:idx val="8"/>
          <c:order val="5"/>
          <c:tx>
            <c:strRef>
              <c:f>GE!$V$2</c:f>
              <c:strCache>
                <c:ptCount val="1"/>
                <c:pt idx="0">
                  <c:v>OpenSkin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(GE!$V$12:$V$15,GE!$V$17:$V$19)</c:f>
              <c:numCache>
                <c:formatCode>0%</c:formatCode>
                <c:ptCount val="7"/>
                <c:pt idx="0">
                  <c:v>1.0124647965988649</c:v>
                </c:pt>
                <c:pt idx="1">
                  <c:v>0.98137888978528365</c:v>
                </c:pt>
                <c:pt idx="2">
                  <c:v>1.0749221321001072</c:v>
                </c:pt>
                <c:pt idx="3">
                  <c:v>0</c:v>
                </c:pt>
                <c:pt idx="4">
                  <c:v>0.91972736853956427</c:v>
                </c:pt>
                <c:pt idx="5">
                  <c:v>1.0364250346697874</c:v>
                </c:pt>
                <c:pt idx="6">
                  <c:v>0.94218065246812677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39-4666-8A02-F7BC1F69C539}"/>
            </c:ext>
          </c:extLst>
        </c:ser>
        <c:ser>
          <c:idx val="5"/>
          <c:order val="6"/>
          <c:tx>
            <c:strRef>
              <c:f>GE!$T$2</c:f>
              <c:strCache>
                <c:ptCount val="1"/>
                <c:pt idx="0">
                  <c:v>RDM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(GE!$T$12:$T$15,GE!$T$17:$T$19)</c:f>
              <c:numCache>
                <c:formatCode>0%</c:formatCode>
                <c:ptCount val="7"/>
                <c:pt idx="0">
                  <c:v>0.89768274161364991</c:v>
                </c:pt>
                <c:pt idx="1">
                  <c:v>0.95235749954666482</c:v>
                </c:pt>
                <c:pt idx="2">
                  <c:v>1.0431929226679859</c:v>
                </c:pt>
                <c:pt idx="3">
                  <c:v>0.67482119671216512</c:v>
                </c:pt>
                <c:pt idx="4">
                  <c:v>0.98400185057143463</c:v>
                </c:pt>
                <c:pt idx="5">
                  <c:v>0.95662285692810423</c:v>
                </c:pt>
                <c:pt idx="6">
                  <c:v>0.90016608249269281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39-4666-8A02-F7BC1F69C539}"/>
            </c:ext>
          </c:extLst>
        </c:ser>
        <c:ser>
          <c:idx val="3"/>
          <c:order val="7"/>
          <c:tx>
            <c:strRef>
              <c:f>GE!$R$2</c:f>
              <c:strCache>
                <c:ptCount val="1"/>
                <c:pt idx="0">
                  <c:v>SDM flat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(GE!$R$12:$R$15,GE!$R$17:$R$19)</c:f>
              <c:numCache>
                <c:formatCode>0%</c:formatCode>
                <c:ptCount val="7"/>
                <c:pt idx="0">
                  <c:v>1.0191394102206464</c:v>
                </c:pt>
                <c:pt idx="1">
                  <c:v>0.99773582519407256</c:v>
                </c:pt>
                <c:pt idx="2">
                  <c:v>1.1030578055521723</c:v>
                </c:pt>
                <c:pt idx="3">
                  <c:v>0</c:v>
                </c:pt>
                <c:pt idx="4">
                  <c:v>1.2859905440391453</c:v>
                </c:pt>
                <c:pt idx="5">
                  <c:v>1.1138459102384437</c:v>
                </c:pt>
                <c:pt idx="6">
                  <c:v>1.0562308194842667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9-4666-8A02-F7BC1F69C539}"/>
            </c:ext>
          </c:extLst>
        </c:ser>
        <c:ser>
          <c:idx val="0"/>
          <c:order val="8"/>
          <c:tx>
            <c:strRef>
              <c:f>GE!$X$2</c:f>
              <c:strCache>
                <c:ptCount val="1"/>
                <c:pt idx="0">
                  <c:v>SDM ICRP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(GE!$X$12:$X$15,GE!$X$17:$X$19)</c:f>
              <c:numCache>
                <c:formatCode>0%</c:formatCode>
                <c:ptCount val="7"/>
                <c:pt idx="0">
                  <c:v>0.96247304567900993</c:v>
                </c:pt>
                <c:pt idx="1">
                  <c:v>0.95641779992817177</c:v>
                </c:pt>
                <c:pt idx="2">
                  <c:v>1.0223057591507299</c:v>
                </c:pt>
                <c:pt idx="3">
                  <c:v>2.073730406668234</c:v>
                </c:pt>
                <c:pt idx="4">
                  <c:v>1.2705224912000805</c:v>
                </c:pt>
                <c:pt idx="5">
                  <c:v>1.0538859726699759</c:v>
                </c:pt>
                <c:pt idx="6">
                  <c:v>1.0053557562750977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6-457C-8D64-FBECB1FA179D}"/>
            </c:ext>
          </c:extLst>
        </c:ser>
        <c:ser>
          <c:idx val="9"/>
          <c:order val="9"/>
          <c:tx>
            <c:strRef>
              <c:f>GE!$W$2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(GE!$W$12:$W$15,GE!$W$17:$W$19)</c:f>
              <c:numCache>
                <c:formatCode>0%</c:formatCode>
                <c:ptCount val="7"/>
                <c:pt idx="0">
                  <c:v>0.75706061815502113</c:v>
                </c:pt>
                <c:pt idx="1">
                  <c:v>0.75971029150837333</c:v>
                </c:pt>
                <c:pt idx="2">
                  <c:v>0.83352017592398053</c:v>
                </c:pt>
                <c:pt idx="3">
                  <c:v>1.133903578930872</c:v>
                </c:pt>
                <c:pt idx="4">
                  <c:v>0.99683393577290658</c:v>
                </c:pt>
                <c:pt idx="5">
                  <c:v>0.85906879372952005</c:v>
                </c:pt>
                <c:pt idx="6">
                  <c:v>0.7959465374539989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39-4666-8A02-F7BC1F69C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523520"/>
        <c:axId val="585520240"/>
        <c:extLst/>
      </c:barChart>
      <c:scatterChart>
        <c:scatterStyle val="lineMarker"/>
        <c:varyColors val="0"/>
        <c:ser>
          <c:idx val="10"/>
          <c:order val="0"/>
          <c:tx>
            <c:strRef>
              <c:f>GE!$Z$2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(GE!$AA$12:$AA$15,GE!$AA$17:$AA$19)</c:f>
                <c:numCache>
                  <c:formatCode>General</c:formatCode>
                  <c:ptCount val="7"/>
                  <c:pt idx="0">
                    <c:v>0.14734152405663753</c:v>
                  </c:pt>
                  <c:pt idx="1">
                    <c:v>0.15710173481564355</c:v>
                  </c:pt>
                  <c:pt idx="2">
                    <c:v>0.16274563800941727</c:v>
                  </c:pt>
                  <c:pt idx="3">
                    <c:v>0.5012665189169091</c:v>
                  </c:pt>
                  <c:pt idx="4">
                    <c:v>0.20497144409606757</c:v>
                  </c:pt>
                  <c:pt idx="5">
                    <c:v>0.14352576441137743</c:v>
                  </c:pt>
                  <c:pt idx="6">
                    <c:v>0.13613646780026731</c:v>
                  </c:pt>
                </c:numCache>
              </c:numRef>
            </c:plus>
            <c:minus>
              <c:numRef>
                <c:f>(GE!$AA$12:$AA$15,GE!$AA$17:$AA$19)</c:f>
                <c:numCache>
                  <c:formatCode>General</c:formatCode>
                  <c:ptCount val="7"/>
                  <c:pt idx="0">
                    <c:v>0.14734152405663753</c:v>
                  </c:pt>
                  <c:pt idx="1">
                    <c:v>0.15710173481564355</c:v>
                  </c:pt>
                  <c:pt idx="2">
                    <c:v>0.16274563800941727</c:v>
                  </c:pt>
                  <c:pt idx="3">
                    <c:v>0.5012665189169091</c:v>
                  </c:pt>
                  <c:pt idx="4">
                    <c:v>0.20497144409606757</c:v>
                  </c:pt>
                  <c:pt idx="5">
                    <c:v>0.14352576441137743</c:v>
                  </c:pt>
                  <c:pt idx="6">
                    <c:v>0.13613646780026731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(GE!$F$12:$F$15,GE!$F$17:$F$19)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xVal>
          <c:yVal>
            <c:numRef>
              <c:f>(GE!$Z$12:$Z$15,GE!$Z$17:$Z$19)</c:f>
              <c:numCache>
                <c:formatCode>0%</c:formatCode>
                <c:ptCount val="7"/>
                <c:pt idx="0">
                  <c:v>0.91183925296588952</c:v>
                </c:pt>
                <c:pt idx="1">
                  <c:v>0.90762565132021955</c:v>
                </c:pt>
                <c:pt idx="2">
                  <c:v>0.99737878441145456</c:v>
                </c:pt>
                <c:pt idx="3">
                  <c:v>1.1432787864272991</c:v>
                </c:pt>
                <c:pt idx="4">
                  <c:v>1.0288796694140934</c:v>
                </c:pt>
                <c:pt idx="5">
                  <c:v>0.94820861312066484</c:v>
                </c:pt>
                <c:pt idx="6">
                  <c:v>0.87906901152448391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239-4666-8A02-F7BC1F69C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523520"/>
        <c:axId val="585520240"/>
      </c:scatterChart>
      <c:catAx>
        <c:axId val="585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240"/>
        <c:crosses val="autoZero"/>
        <c:auto val="1"/>
        <c:lblAlgn val="ctr"/>
        <c:lblOffset val="100"/>
        <c:noMultiLvlLbl val="0"/>
      </c:catAx>
      <c:valAx>
        <c:axId val="585520240"/>
        <c:scaling>
          <c:orientation val="minMax"/>
          <c:max val="2.1"/>
          <c:min val="0.60000000000000009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7245322782927995E-2"/>
          <c:y val="2.3052321545449138E-2"/>
          <c:w val="0.89885858768830662"/>
          <c:h val="0.11011622602590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250097583955852E-2"/>
          <c:y val="1.2329511626481273E-2"/>
          <c:w val="0.93970716737330906"/>
          <c:h val="0.9153033903595692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Siemens!$Q$2</c:f>
              <c:strCache>
                <c:ptCount val="1"/>
                <c:pt idx="0">
                  <c:v>CAATSDOSE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Siemens!$F$7:$F$11</c:f>
              <c:strCache>
                <c:ptCount val="5"/>
                <c:pt idx="0">
                  <c:v>10cm PMMA
92kVp 3.8mmAl</c:v>
                </c:pt>
                <c:pt idx="1">
                  <c:v>15cm PMMA
100kVp 4.2mmAl</c:v>
                </c:pt>
                <c:pt idx="2">
                  <c:v>20cm PMMA
108kVp 4.3mmAl</c:v>
                </c:pt>
                <c:pt idx="3">
                  <c:v>25cm PMMA
109kVp 4.2mmAl</c:v>
                </c:pt>
                <c:pt idx="4">
                  <c:v>30cm PMMA
125kVp 4.8mmAl</c:v>
                </c:pt>
              </c:strCache>
              <c:extLst xmlns:c15="http://schemas.microsoft.com/office/drawing/2012/chart"/>
            </c:strRef>
          </c:cat>
          <c:val>
            <c:numRef>
              <c:f>Siemens!$Q$7:$Q$11</c:f>
              <c:numCache>
                <c:formatCode>0%</c:formatCode>
                <c:ptCount val="5"/>
                <c:pt idx="0">
                  <c:v>1.7519676628906928</c:v>
                </c:pt>
                <c:pt idx="1">
                  <c:v>1.6427490116643846</c:v>
                </c:pt>
                <c:pt idx="2">
                  <c:v>1.4401600731231505</c:v>
                </c:pt>
                <c:pt idx="3">
                  <c:v>1.3313691849436071</c:v>
                </c:pt>
                <c:pt idx="4">
                  <c:v>1.2345411160300963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68B-40F5-9C4A-93489C2CF312}"/>
            </c:ext>
          </c:extLst>
        </c:ser>
        <c:ser>
          <c:idx val="1"/>
          <c:order val="2"/>
          <c:tx>
            <c:strRef>
              <c:f>Siemens!$P$2</c:f>
              <c:strCache>
                <c:ptCount val="1"/>
                <c:pt idx="0">
                  <c:v>CareMonitor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Siemens!$F$7:$F$11</c:f>
              <c:strCache>
                <c:ptCount val="5"/>
                <c:pt idx="0">
                  <c:v>10cm PMMA
92kVp 3.8mmAl</c:v>
                </c:pt>
                <c:pt idx="1">
                  <c:v>15cm PMMA
100kVp 4.2mmAl</c:v>
                </c:pt>
                <c:pt idx="2">
                  <c:v>20cm PMMA
108kVp 4.3mmAl</c:v>
                </c:pt>
                <c:pt idx="3">
                  <c:v>25cm PMMA
109kVp 4.2mmAl</c:v>
                </c:pt>
                <c:pt idx="4">
                  <c:v>30cm PMMA
125kVp 4.8mmAl</c:v>
                </c:pt>
              </c:strCache>
            </c:strRef>
          </c:cat>
          <c:val>
            <c:numRef>
              <c:f>Siemens!$P$7:$P$11</c:f>
              <c:numCache>
                <c:formatCode>0%</c:formatCode>
                <c:ptCount val="5"/>
                <c:pt idx="0">
                  <c:v>1.7617557493753608</c:v>
                </c:pt>
                <c:pt idx="1">
                  <c:v>1.5844749938572167</c:v>
                </c:pt>
                <c:pt idx="2">
                  <c:v>1.4203267406606519</c:v>
                </c:pt>
                <c:pt idx="3">
                  <c:v>1.3856350625379936</c:v>
                </c:pt>
                <c:pt idx="4">
                  <c:v>1.3482861947295857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B-40F5-9C4A-93489C2CF312}"/>
            </c:ext>
          </c:extLst>
        </c:ser>
        <c:ser>
          <c:idx val="4"/>
          <c:order val="3"/>
          <c:tx>
            <c:strRef>
              <c:f>Siemens!$S$2</c:f>
              <c:strCache>
                <c:ptCount val="1"/>
                <c:pt idx="0">
                  <c:v>DOSE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Siemens!$F$7:$F$11</c:f>
              <c:strCache>
                <c:ptCount val="5"/>
                <c:pt idx="0">
                  <c:v>10cm PMMA
92kVp 3.8mmAl</c:v>
                </c:pt>
                <c:pt idx="1">
                  <c:v>15cm PMMA
100kVp 4.2mmAl</c:v>
                </c:pt>
                <c:pt idx="2">
                  <c:v>20cm PMMA
108kVp 4.3mmAl</c:v>
                </c:pt>
                <c:pt idx="3">
                  <c:v>25cm PMMA
109kVp 4.2mmAl</c:v>
                </c:pt>
                <c:pt idx="4">
                  <c:v>30cm PMMA
125kVp 4.8mmAl</c:v>
                </c:pt>
              </c:strCache>
            </c:strRef>
          </c:cat>
          <c:val>
            <c:numRef>
              <c:f>Siemens!$S$7:$S$11</c:f>
              <c:numCache>
                <c:formatCode>0%</c:formatCode>
                <c:ptCount val="5"/>
                <c:pt idx="0">
                  <c:v>1.1989505190319196</c:v>
                </c:pt>
                <c:pt idx="1">
                  <c:v>1.1806463391579676</c:v>
                </c:pt>
                <c:pt idx="2">
                  <c:v>1.0685552538361771</c:v>
                </c:pt>
                <c:pt idx="3">
                  <c:v>0.99424677567927033</c:v>
                </c:pt>
                <c:pt idx="4">
                  <c:v>0.97571960178363348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B-40F5-9C4A-93489C2CF312}"/>
            </c:ext>
          </c:extLst>
        </c:ser>
        <c:ser>
          <c:idx val="7"/>
          <c:order val="4"/>
          <c:tx>
            <c:strRef>
              <c:f>Siemens!$U$2</c:f>
              <c:strCache>
                <c:ptCount val="1"/>
                <c:pt idx="0">
                  <c:v>EM.dose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Siemens!$F$7:$F$11</c:f>
              <c:strCache>
                <c:ptCount val="5"/>
                <c:pt idx="0">
                  <c:v>10cm PMMA
92kVp 3.8mmAl</c:v>
                </c:pt>
                <c:pt idx="1">
                  <c:v>15cm PMMA
100kVp 4.2mmAl</c:v>
                </c:pt>
                <c:pt idx="2">
                  <c:v>20cm PMMA
108kVp 4.3mmAl</c:v>
                </c:pt>
                <c:pt idx="3">
                  <c:v>25cm PMMA
109kVp 4.2mmAl</c:v>
                </c:pt>
                <c:pt idx="4">
                  <c:v>30cm PMMA
125kVp 4.8mmAl</c:v>
                </c:pt>
              </c:strCache>
              <c:extLst xmlns:c15="http://schemas.microsoft.com/office/drawing/2012/chart"/>
            </c:strRef>
          </c:cat>
          <c:val>
            <c:numRef>
              <c:f>Siemens!$U$7:$U$11</c:f>
              <c:numCache>
                <c:formatCode>0%</c:formatCode>
                <c:ptCount val="5"/>
                <c:pt idx="0">
                  <c:v>1.587015088622836</c:v>
                </c:pt>
                <c:pt idx="1">
                  <c:v>1.4746177562668565</c:v>
                </c:pt>
                <c:pt idx="2">
                  <c:v>1.2832341988550755</c:v>
                </c:pt>
                <c:pt idx="3">
                  <c:v>1.1865861816886527</c:v>
                </c:pt>
                <c:pt idx="4">
                  <c:v>1.0944408033304451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668B-40F5-9C4A-93489C2CF312}"/>
            </c:ext>
          </c:extLst>
        </c:ser>
        <c:ser>
          <c:idx val="8"/>
          <c:order val="5"/>
          <c:tx>
            <c:strRef>
              <c:f>Siemens!$V$2</c:f>
              <c:strCache>
                <c:ptCount val="1"/>
                <c:pt idx="0">
                  <c:v>OpenSkin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Siemens!$F$7:$F$11</c:f>
              <c:strCache>
                <c:ptCount val="5"/>
                <c:pt idx="0">
                  <c:v>10cm PMMA
92kVp 3.8mmAl</c:v>
                </c:pt>
                <c:pt idx="1">
                  <c:v>15cm PMMA
100kVp 4.2mmAl</c:v>
                </c:pt>
                <c:pt idx="2">
                  <c:v>20cm PMMA
108kVp 4.3mmAl</c:v>
                </c:pt>
                <c:pt idx="3">
                  <c:v>25cm PMMA
109kVp 4.2mmAl</c:v>
                </c:pt>
                <c:pt idx="4">
                  <c:v>30cm PMMA
125kVp 4.8mmAl</c:v>
                </c:pt>
              </c:strCache>
            </c:strRef>
          </c:cat>
          <c:val>
            <c:numRef>
              <c:f>Siemens!$V$7:$V$11</c:f>
              <c:numCache>
                <c:formatCode>0%</c:formatCode>
                <c:ptCount val="5"/>
                <c:pt idx="0">
                  <c:v>2.0076043797406826</c:v>
                </c:pt>
                <c:pt idx="1">
                  <c:v>1.86427865489621</c:v>
                </c:pt>
                <c:pt idx="2">
                  <c:v>1.6214164503861992</c:v>
                </c:pt>
                <c:pt idx="3">
                  <c:v>1.4994864637285319</c:v>
                </c:pt>
                <c:pt idx="4">
                  <c:v>1.3810584363543876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B-40F5-9C4A-93489C2CF312}"/>
            </c:ext>
          </c:extLst>
        </c:ser>
        <c:ser>
          <c:idx val="5"/>
          <c:order val="6"/>
          <c:tx>
            <c:strRef>
              <c:f>Siemens!$T$2</c:f>
              <c:strCache>
                <c:ptCount val="1"/>
                <c:pt idx="0">
                  <c:v>RDM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Siemens!$F$7:$F$11</c:f>
              <c:strCache>
                <c:ptCount val="5"/>
                <c:pt idx="0">
                  <c:v>10cm PMMA
92kVp 3.8mmAl</c:v>
                </c:pt>
                <c:pt idx="1">
                  <c:v>15cm PMMA
100kVp 4.2mmAl</c:v>
                </c:pt>
                <c:pt idx="2">
                  <c:v>20cm PMMA
108kVp 4.3mmAl</c:v>
                </c:pt>
                <c:pt idx="3">
                  <c:v>25cm PMMA
109kVp 4.2mmAl</c:v>
                </c:pt>
                <c:pt idx="4">
                  <c:v>30cm PMMA
125kVp 4.8mmAl</c:v>
                </c:pt>
              </c:strCache>
            </c:strRef>
          </c:cat>
          <c:val>
            <c:numRef>
              <c:f>Siemens!$T$7:$T$11</c:f>
              <c:numCache>
                <c:formatCode>0%</c:formatCode>
                <c:ptCount val="5"/>
                <c:pt idx="0">
                  <c:v>1.445118019216133</c:v>
                </c:pt>
                <c:pt idx="1">
                  <c:v>1.3752054302414669</c:v>
                </c:pt>
                <c:pt idx="2">
                  <c:v>1.1962398635155869</c:v>
                </c:pt>
                <c:pt idx="3">
                  <c:v>1.1058526671451454</c:v>
                </c:pt>
                <c:pt idx="4">
                  <c:v>1.0180492245078212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B-40F5-9C4A-93489C2CF312}"/>
            </c:ext>
          </c:extLst>
        </c:ser>
        <c:ser>
          <c:idx val="3"/>
          <c:order val="7"/>
          <c:tx>
            <c:strRef>
              <c:f>Siemens!$R$2</c:f>
              <c:strCache>
                <c:ptCount val="1"/>
                <c:pt idx="0">
                  <c:v>SDM flat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Siemens!$F$7:$F$11</c:f>
              <c:strCache>
                <c:ptCount val="5"/>
                <c:pt idx="0">
                  <c:v>10cm PMMA
92kVp 3.8mmAl</c:v>
                </c:pt>
                <c:pt idx="1">
                  <c:v>15cm PMMA
100kVp 4.2mmAl</c:v>
                </c:pt>
                <c:pt idx="2">
                  <c:v>20cm PMMA
108kVp 4.3mmAl</c:v>
                </c:pt>
                <c:pt idx="3">
                  <c:v>25cm PMMA
109kVp 4.2mmAl</c:v>
                </c:pt>
                <c:pt idx="4">
                  <c:v>30cm PMMA
125kVp 4.8mmAl</c:v>
                </c:pt>
              </c:strCache>
              <c:extLst xmlns:c15="http://schemas.microsoft.com/office/drawing/2012/chart"/>
            </c:strRef>
          </c:cat>
          <c:val>
            <c:numRef>
              <c:f>Siemens!$R$7:$R$11</c:f>
              <c:numCache>
                <c:formatCode>0%</c:formatCode>
                <c:ptCount val="5"/>
                <c:pt idx="0">
                  <c:v>1.5126418920645903</c:v>
                </c:pt>
                <c:pt idx="1">
                  <c:v>1.4670482898182229</c:v>
                </c:pt>
                <c:pt idx="2">
                  <c:v>1.3156702710168131</c:v>
                </c:pt>
                <c:pt idx="3">
                  <c:v>1.2162884586641325</c:v>
                </c:pt>
                <c:pt idx="4">
                  <c:v>1.1737284009711293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668B-40F5-9C4A-93489C2CF312}"/>
            </c:ext>
          </c:extLst>
        </c:ser>
        <c:ser>
          <c:idx val="0"/>
          <c:order val="8"/>
          <c:tx>
            <c:strRef>
              <c:f>Siemens!$X$2</c:f>
              <c:strCache>
                <c:ptCount val="1"/>
                <c:pt idx="0">
                  <c:v>SDM ICRP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val>
            <c:numRef>
              <c:f>Siemens!$X$7:$X$11</c:f>
              <c:numCache>
                <c:formatCode>0%</c:formatCode>
                <c:ptCount val="5"/>
                <c:pt idx="0">
                  <c:v>1.4772856065459044</c:v>
                </c:pt>
                <c:pt idx="1">
                  <c:v>1.432752417933973</c:v>
                </c:pt>
                <c:pt idx="2">
                  <c:v>1.2849299495839897</c:v>
                </c:pt>
                <c:pt idx="3">
                  <c:v>1.1878678807634231</c:v>
                </c:pt>
                <c:pt idx="4">
                  <c:v>1.1551533985520674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B-8F6A-4C37-BF48-E62CFE263AFF}"/>
            </c:ext>
          </c:extLst>
        </c:ser>
        <c:ser>
          <c:idx val="9"/>
          <c:order val="9"/>
          <c:tx>
            <c:strRef>
              <c:f>Siemens!$W$2</c:f>
              <c:strCache>
                <c:ptCount val="1"/>
                <c:pt idx="0">
                  <c:v>SkinCare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Siemens!$F$7:$F$11</c:f>
              <c:strCache>
                <c:ptCount val="5"/>
                <c:pt idx="0">
                  <c:v>10cm PMMA
92kVp 3.8mmAl</c:v>
                </c:pt>
                <c:pt idx="1">
                  <c:v>15cm PMMA
100kVp 4.2mmAl</c:v>
                </c:pt>
                <c:pt idx="2">
                  <c:v>20cm PMMA
108kVp 4.3mmAl</c:v>
                </c:pt>
                <c:pt idx="3">
                  <c:v>25cm PMMA
109kVp 4.2mmAl</c:v>
                </c:pt>
                <c:pt idx="4">
                  <c:v>30cm PMMA
125kVp 4.8mmAl</c:v>
                </c:pt>
              </c:strCache>
            </c:strRef>
          </c:cat>
          <c:val>
            <c:numRef>
              <c:f>Siemens!$W$7:$W$11</c:f>
              <c:numCache>
                <c:formatCode>0%</c:formatCode>
                <c:ptCount val="5"/>
                <c:pt idx="0">
                  <c:v>1.2678263999124768</c:v>
                </c:pt>
                <c:pt idx="1">
                  <c:v>1.1980227872947682</c:v>
                </c:pt>
                <c:pt idx="2">
                  <c:v>1.0488102111022477</c:v>
                </c:pt>
                <c:pt idx="3">
                  <c:v>0.97057423340119231</c:v>
                </c:pt>
                <c:pt idx="4">
                  <c:v>0.90280013154395233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668B-40F5-9C4A-93489C2CF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523520"/>
        <c:axId val="585520240"/>
        <c:extLst/>
      </c:barChart>
      <c:scatterChart>
        <c:scatterStyle val="lineMarker"/>
        <c:varyColors val="0"/>
        <c:ser>
          <c:idx val="10"/>
          <c:order val="0"/>
          <c:tx>
            <c:strRef>
              <c:f>Siemens!$Z$2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Siemens!$AA$7:$AA$11</c:f>
                <c:numCache>
                  <c:formatCode>General</c:formatCode>
                  <c:ptCount val="5"/>
                  <c:pt idx="0">
                    <c:v>0.25410185751322378</c:v>
                  </c:pt>
                  <c:pt idx="1">
                    <c:v>0.2140360388841917</c:v>
                  </c:pt>
                  <c:pt idx="2">
                    <c:v>0.18219748737382718</c:v>
                  </c:pt>
                  <c:pt idx="3">
                    <c:v>0.17505810409728301</c:v>
                  </c:pt>
                  <c:pt idx="4">
                    <c:v>0.16276294220892384</c:v>
                  </c:pt>
                </c:numCache>
              </c:numRef>
            </c:plus>
            <c:minus>
              <c:numRef>
                <c:f>Siemens!$AA$7:$AA$11</c:f>
                <c:numCache>
                  <c:formatCode>General</c:formatCode>
                  <c:ptCount val="5"/>
                  <c:pt idx="0">
                    <c:v>0.25410185751322378</c:v>
                  </c:pt>
                  <c:pt idx="1">
                    <c:v>0.2140360388841917</c:v>
                  </c:pt>
                  <c:pt idx="2">
                    <c:v>0.18219748737382718</c:v>
                  </c:pt>
                  <c:pt idx="3">
                    <c:v>0.17505810409728301</c:v>
                  </c:pt>
                  <c:pt idx="4">
                    <c:v>0.16276294220892384</c:v>
                  </c:pt>
                </c:numCache>
              </c:numRef>
            </c:minus>
            <c:spPr>
              <a:noFill/>
              <a:ln w="38100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yVal>
            <c:numRef>
              <c:f>Siemens!$Z$7:$Z$11</c:f>
              <c:numCache>
                <c:formatCode>0%</c:formatCode>
                <c:ptCount val="5"/>
                <c:pt idx="0">
                  <c:v>1.5566850352667332</c:v>
                </c:pt>
                <c:pt idx="1">
                  <c:v>1.4688661867923409</c:v>
                </c:pt>
                <c:pt idx="2">
                  <c:v>1.297704779119988</c:v>
                </c:pt>
                <c:pt idx="3">
                  <c:v>1.2086563231724388</c:v>
                </c:pt>
                <c:pt idx="4">
                  <c:v>1.1426419230892355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8B-40F5-9C4A-93489C2CF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865264"/>
        <c:axId val="646869856"/>
      </c:scatterChart>
      <c:catAx>
        <c:axId val="585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240"/>
        <c:crosses val="autoZero"/>
        <c:auto val="1"/>
        <c:lblAlgn val="ctr"/>
        <c:lblOffset val="100"/>
        <c:noMultiLvlLbl val="0"/>
      </c:catAx>
      <c:valAx>
        <c:axId val="585520240"/>
        <c:scaling>
          <c:orientation val="minMax"/>
          <c:min val="0.60000000000000009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3520"/>
        <c:crosses val="autoZero"/>
        <c:crossBetween val="between"/>
      </c:valAx>
      <c:valAx>
        <c:axId val="64686985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646865264"/>
        <c:crosses val="max"/>
        <c:crossBetween val="midCat"/>
      </c:valAx>
      <c:valAx>
        <c:axId val="646865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686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7722159730033749E-2"/>
          <c:y val="1.4670891264536518E-2"/>
          <c:w val="0.93379480582168606"/>
          <c:h val="0.10690166405521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250097583955852E-2"/>
          <c:y val="1.2329511626481273E-2"/>
          <c:w val="0.93970716737330906"/>
          <c:h val="0.9153033903595692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Siemens!$Q$2</c:f>
              <c:strCache>
                <c:ptCount val="1"/>
                <c:pt idx="0">
                  <c:v>CAATSDOSE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(Siemens!$F$12:$F$15,Siemens!$F$16:$F$18)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  <c:extLst xmlns:c15="http://schemas.microsoft.com/office/drawing/2012/chart"/>
            </c:strRef>
          </c:cat>
          <c:val>
            <c:numRef>
              <c:f>(Siemens!$Q$12:$Q$15,Siemens!$Q$16:$Q$18)</c:f>
              <c:numCache>
                <c:formatCode>0%</c:formatCode>
                <c:ptCount val="7"/>
                <c:pt idx="0">
                  <c:v>0.99001712261997865</c:v>
                </c:pt>
                <c:pt idx="1">
                  <c:v>0.90212813886669363</c:v>
                </c:pt>
                <c:pt idx="2">
                  <c:v>0.9663227234451186</c:v>
                </c:pt>
                <c:pt idx="3">
                  <c:v>0.78335200009125938</c:v>
                </c:pt>
                <c:pt idx="4">
                  <c:v>0.69899730298052443</c:v>
                </c:pt>
                <c:pt idx="5">
                  <c:v>0.69208213702450228</c:v>
                </c:pt>
                <c:pt idx="6">
                  <c:v>0.48238893429941004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35A-40B5-9648-14F3F15F98B1}"/>
            </c:ext>
          </c:extLst>
        </c:ser>
        <c:ser>
          <c:idx val="1"/>
          <c:order val="2"/>
          <c:tx>
            <c:strRef>
              <c:f>Siemens!$P$2</c:f>
              <c:strCache>
                <c:ptCount val="1"/>
                <c:pt idx="0">
                  <c:v>CareMonitor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(Siemens!$F$12:$F$15,Siemens!$F$16:$F$18)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(Siemens!$P$12:$P$15,Siemens!$P$16:$P$18)</c:f>
              <c:numCache>
                <c:formatCode>0%</c:formatCode>
                <c:ptCount val="7"/>
                <c:pt idx="0">
                  <c:v>0.90201557066880445</c:v>
                </c:pt>
                <c:pt idx="1">
                  <c:v>0.81932128277967309</c:v>
                </c:pt>
                <c:pt idx="2">
                  <c:v>0.87186824683652941</c:v>
                </c:pt>
                <c:pt idx="3">
                  <c:v>0.81595404699218077</c:v>
                </c:pt>
                <c:pt idx="4">
                  <c:v>0.72384219554030871</c:v>
                </c:pt>
                <c:pt idx="5">
                  <c:v>0.92466055369423383</c:v>
                </c:pt>
                <c:pt idx="6">
                  <c:v>0.80052896309065569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5A-40B5-9648-14F3F15F98B1}"/>
            </c:ext>
          </c:extLst>
        </c:ser>
        <c:ser>
          <c:idx val="4"/>
          <c:order val="3"/>
          <c:tx>
            <c:strRef>
              <c:f>Siemens!$S$2</c:f>
              <c:strCache>
                <c:ptCount val="1"/>
                <c:pt idx="0">
                  <c:v>DOSE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(Siemens!$F$12:$F$15,Siemens!$F$16:$F$18)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(Siemens!$S$12:$S$15,Siemens!$S$16:$S$18)</c:f>
              <c:numCache>
                <c:formatCode>0%</c:formatCode>
                <c:ptCount val="7"/>
                <c:pt idx="0">
                  <c:v>0.77871075105368326</c:v>
                </c:pt>
                <c:pt idx="1">
                  <c:v>0.68654372614351689</c:v>
                </c:pt>
                <c:pt idx="2">
                  <c:v>0.73784772771325757</c:v>
                </c:pt>
                <c:pt idx="3">
                  <c:v>0.88366624245575909</c:v>
                </c:pt>
                <c:pt idx="4">
                  <c:v>0.43463750455981309</c:v>
                </c:pt>
                <c:pt idx="5">
                  <c:v>0.51863453898575829</c:v>
                </c:pt>
                <c:pt idx="6">
                  <c:v>0.56631875817622712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5A-40B5-9648-14F3F15F98B1}"/>
            </c:ext>
          </c:extLst>
        </c:ser>
        <c:ser>
          <c:idx val="5"/>
          <c:order val="4"/>
          <c:tx>
            <c:strRef>
              <c:f>Siemens!$T$2</c:f>
              <c:strCache>
                <c:ptCount val="1"/>
                <c:pt idx="0">
                  <c:v>RDM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(Siemens!$F$12:$F$15,Siemens!$F$16:$F$18)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(Siemens!$T$12:$T$15,Siemens!$T$16:$T$18)</c:f>
              <c:numCache>
                <c:formatCode>0%</c:formatCode>
                <c:ptCount val="7"/>
                <c:pt idx="0">
                  <c:v>0.8564475656847319</c:v>
                </c:pt>
                <c:pt idx="1">
                  <c:v>0.76333364191266928</c:v>
                </c:pt>
                <c:pt idx="2">
                  <c:v>0.81326290594743367</c:v>
                </c:pt>
                <c:pt idx="3">
                  <c:v>0.33661589587616447</c:v>
                </c:pt>
                <c:pt idx="4">
                  <c:v>0.6147016135917357</c:v>
                </c:pt>
                <c:pt idx="5">
                  <c:v>0.65896507674594318</c:v>
                </c:pt>
                <c:pt idx="6">
                  <c:v>0.67877043008276683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5A-40B5-9648-14F3F15F98B1}"/>
            </c:ext>
          </c:extLst>
        </c:ser>
        <c:ser>
          <c:idx val="7"/>
          <c:order val="5"/>
          <c:tx>
            <c:strRef>
              <c:f>Siemens!$U$2</c:f>
              <c:strCache>
                <c:ptCount val="1"/>
                <c:pt idx="0">
                  <c:v>EM.dose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(Siemens!$F$12:$F$15,Siemens!$F$16:$F$18)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  <c:extLst xmlns:c15="http://schemas.microsoft.com/office/drawing/2012/chart"/>
            </c:strRef>
          </c:cat>
          <c:val>
            <c:numRef>
              <c:f>(Siemens!$U$12:$U$15,Siemens!$U$16:$U$18)</c:f>
              <c:numCache>
                <c:formatCode>0%</c:formatCode>
                <c:ptCount val="7"/>
                <c:pt idx="0">
                  <c:v>0.83879231331170445</c:v>
                </c:pt>
                <c:pt idx="1">
                  <c:v>0.7749362308844947</c:v>
                </c:pt>
                <c:pt idx="2">
                  <c:v>0.83097125141255179</c:v>
                </c:pt>
                <c:pt idx="3">
                  <c:v>0</c:v>
                </c:pt>
                <c:pt idx="4">
                  <c:v>0.65829472044788351</c:v>
                </c:pt>
                <c:pt idx="5">
                  <c:v>0.64492703609935764</c:v>
                </c:pt>
                <c:pt idx="6">
                  <c:v>0.73955352925041717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135A-40B5-9648-14F3F15F98B1}"/>
            </c:ext>
          </c:extLst>
        </c:ser>
        <c:ser>
          <c:idx val="8"/>
          <c:order val="6"/>
          <c:tx>
            <c:strRef>
              <c:f>Siemens!$V$2</c:f>
              <c:strCache>
                <c:ptCount val="1"/>
                <c:pt idx="0">
                  <c:v>OpenSkin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(Siemens!$F$12:$F$15,Siemens!$F$16:$F$18)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(Siemens!$V$12:$V$15,Siemens!$V$16:$V$18)</c:f>
              <c:numCache>
                <c:formatCode>0%</c:formatCode>
                <c:ptCount val="7"/>
                <c:pt idx="0">
                  <c:v>1.0687133755840206</c:v>
                </c:pt>
                <c:pt idx="1">
                  <c:v>0.9542957793394885</c:v>
                </c:pt>
                <c:pt idx="2">
                  <c:v>1.0151356640958207</c:v>
                </c:pt>
                <c:pt idx="3">
                  <c:v>0</c:v>
                </c:pt>
                <c:pt idx="4">
                  <c:v>0.78588385244056713</c:v>
                </c:pt>
                <c:pt idx="5">
                  <c:v>0.77582992397615558</c:v>
                </c:pt>
                <c:pt idx="6">
                  <c:v>0.82836401409727667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5A-40B5-9648-14F3F15F98B1}"/>
            </c:ext>
          </c:extLst>
        </c:ser>
        <c:ser>
          <c:idx val="3"/>
          <c:order val="7"/>
          <c:tx>
            <c:strRef>
              <c:f>Siemens!$R$2</c:f>
              <c:strCache>
                <c:ptCount val="1"/>
                <c:pt idx="0">
                  <c:v>SDM flat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(Siemens!$F$12:$F$15,Siemens!$F$16:$F$18)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  <c:extLst xmlns:c15="http://schemas.microsoft.com/office/drawing/2012/chart"/>
            </c:strRef>
          </c:cat>
          <c:val>
            <c:numRef>
              <c:f>(Siemens!$R$12:$R$15,Siemens!$R$16:$R$18)</c:f>
              <c:numCache>
                <c:formatCode>0%</c:formatCode>
                <c:ptCount val="7"/>
                <c:pt idx="0">
                  <c:v>0.91138695177631268</c:v>
                </c:pt>
                <c:pt idx="1">
                  <c:v>0.81516769323650484</c:v>
                </c:pt>
                <c:pt idx="2">
                  <c:v>0.86938693633284847</c:v>
                </c:pt>
                <c:pt idx="3">
                  <c:v>0</c:v>
                </c:pt>
                <c:pt idx="4">
                  <c:v>0.60688848702167242</c:v>
                </c:pt>
                <c:pt idx="5">
                  <c:v>0.74864895702594214</c:v>
                </c:pt>
                <c:pt idx="6">
                  <c:v>0.71630774701622135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135A-40B5-9648-14F3F15F98B1}"/>
            </c:ext>
          </c:extLst>
        </c:ser>
        <c:ser>
          <c:idx val="0"/>
          <c:order val="8"/>
          <c:tx>
            <c:strRef>
              <c:f>Siemens!$X$2</c:f>
              <c:strCache>
                <c:ptCount val="1"/>
                <c:pt idx="0">
                  <c:v>SDM ICRP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val>
            <c:numRef>
              <c:f>(Siemens!$X$12:$X$15,Siemens!$X$16:$X$18)</c:f>
              <c:numCache>
                <c:formatCode>0%</c:formatCode>
                <c:ptCount val="7"/>
                <c:pt idx="0">
                  <c:v>0.90150538086638998</c:v>
                </c:pt>
                <c:pt idx="1">
                  <c:v>0.79802126367607051</c:v>
                </c:pt>
                <c:pt idx="2">
                  <c:v>0.83698114016247427</c:v>
                </c:pt>
                <c:pt idx="3">
                  <c:v>1.2199977400010185</c:v>
                </c:pt>
                <c:pt idx="4">
                  <c:v>0.71109800299589421</c:v>
                </c:pt>
                <c:pt idx="5">
                  <c:v>0.7259886171687181</c:v>
                </c:pt>
                <c:pt idx="6">
                  <c:v>0.68575858985346971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9-49B5-87B9-0FA9648BA58A}"/>
            </c:ext>
          </c:extLst>
        </c:ser>
        <c:ser>
          <c:idx val="9"/>
          <c:order val="9"/>
          <c:tx>
            <c:strRef>
              <c:f>Siemens!$W$2</c:f>
              <c:strCache>
                <c:ptCount val="1"/>
                <c:pt idx="0">
                  <c:v>SkinCare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(Siemens!$F$12:$F$15,Siemens!$F$16:$F$18)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(Siemens!$W$12:$W$15,Siemens!$W$16:$W$18)</c:f>
              <c:numCache>
                <c:formatCode>0%</c:formatCode>
                <c:ptCount val="7"/>
                <c:pt idx="0">
                  <c:v>0.72836307318383298</c:v>
                </c:pt>
                <c:pt idx="1">
                  <c:v>0.6623001508140739</c:v>
                </c:pt>
                <c:pt idx="2">
                  <c:v>0.70497185113571126</c:v>
                </c:pt>
                <c:pt idx="3">
                  <c:v>0.79187160261444955</c:v>
                </c:pt>
                <c:pt idx="4">
                  <c:v>0.77600904459949949</c:v>
                </c:pt>
                <c:pt idx="5">
                  <c:v>0.75401482975621781</c:v>
                </c:pt>
                <c:pt idx="6">
                  <c:v>0.65353718956516005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135A-40B5-9648-14F3F15F9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523520"/>
        <c:axId val="585520240"/>
        <c:extLst/>
      </c:barChart>
      <c:scatterChart>
        <c:scatterStyle val="lineMarker"/>
        <c:varyColors val="0"/>
        <c:ser>
          <c:idx val="10"/>
          <c:order val="0"/>
          <c:tx>
            <c:strRef>
              <c:f>Siemens!$Z$2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(Siemens!$AA$12:$AA$15,Siemens!$AA$16:$AA$18)</c:f>
                <c:numCache>
                  <c:formatCode>General</c:formatCode>
                  <c:ptCount val="7"/>
                  <c:pt idx="0">
                    <c:v>0.10296056548199486</c:v>
                  </c:pt>
                  <c:pt idx="1">
                    <c:v>9.2592571710368832E-2</c:v>
                  </c:pt>
                  <c:pt idx="2">
                    <c:v>9.8200150546591675E-2</c:v>
                  </c:pt>
                  <c:pt idx="3">
                    <c:v>0.28233164849260428</c:v>
                  </c:pt>
                  <c:pt idx="4">
                    <c:v>0.10760254299859195</c:v>
                  </c:pt>
                  <c:pt idx="5">
                    <c:v>0.11043053914516965</c:v>
                  </c:pt>
                  <c:pt idx="6">
                    <c:v>0.1083985997093295</c:v>
                  </c:pt>
                </c:numCache>
              </c:numRef>
            </c:plus>
            <c:minus>
              <c:numRef>
                <c:f>(Siemens!$AA$12:$AA$15,Siemens!$AA$16:$AA$18)</c:f>
                <c:numCache>
                  <c:formatCode>General</c:formatCode>
                  <c:ptCount val="7"/>
                  <c:pt idx="0">
                    <c:v>0.10296056548199486</c:v>
                  </c:pt>
                  <c:pt idx="1">
                    <c:v>9.2592571710368832E-2</c:v>
                  </c:pt>
                  <c:pt idx="2">
                    <c:v>9.8200150546591675E-2</c:v>
                  </c:pt>
                  <c:pt idx="3">
                    <c:v>0.28233164849260428</c:v>
                  </c:pt>
                  <c:pt idx="4">
                    <c:v>0.10760254299859195</c:v>
                  </c:pt>
                  <c:pt idx="5">
                    <c:v>0.11043053914516965</c:v>
                  </c:pt>
                  <c:pt idx="6">
                    <c:v>0.1083985997093295</c:v>
                  </c:pt>
                </c:numCache>
              </c:numRef>
            </c:minus>
            <c:spPr>
              <a:noFill/>
              <a:ln w="38100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yVal>
            <c:numRef>
              <c:f>(Siemens!$Z$12:$Z$15,Siemens!$Z$16:$Z$18)</c:f>
              <c:numCache>
                <c:formatCode>0%</c:formatCode>
                <c:ptCount val="7"/>
                <c:pt idx="0">
                  <c:v>0.88621690052771773</c:v>
                </c:pt>
                <c:pt idx="1">
                  <c:v>0.79733865640590951</c:v>
                </c:pt>
                <c:pt idx="2">
                  <c:v>0.84963871634241617</c:v>
                </c:pt>
                <c:pt idx="3">
                  <c:v>0.80524292133847197</c:v>
                </c:pt>
                <c:pt idx="4">
                  <c:v>0.66781696935309975</c:v>
                </c:pt>
                <c:pt idx="5">
                  <c:v>0.71597240783075877</c:v>
                </c:pt>
                <c:pt idx="6">
                  <c:v>0.68350312838128935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5A-40B5-9648-14F3F15F9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865264"/>
        <c:axId val="646869856"/>
      </c:scatterChart>
      <c:catAx>
        <c:axId val="585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240"/>
        <c:crosses val="autoZero"/>
        <c:auto val="1"/>
        <c:lblAlgn val="ctr"/>
        <c:lblOffset val="100"/>
        <c:noMultiLvlLbl val="0"/>
      </c:catAx>
      <c:valAx>
        <c:axId val="585520240"/>
        <c:scaling>
          <c:orientation val="minMax"/>
          <c:max val="1.4"/>
          <c:min val="0.2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3520"/>
        <c:crosses val="autoZero"/>
        <c:crossBetween val="between"/>
      </c:valAx>
      <c:valAx>
        <c:axId val="64686985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646865264"/>
        <c:crosses val="max"/>
        <c:crossBetween val="midCat"/>
      </c:valAx>
      <c:valAx>
        <c:axId val="646865264"/>
        <c:scaling>
          <c:orientation val="minMax"/>
        </c:scaling>
        <c:delete val="1"/>
        <c:axPos val="b"/>
        <c:majorTickMark val="out"/>
        <c:minorTickMark val="none"/>
        <c:tickLblPos val="nextTo"/>
        <c:crossAx val="64686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4459939841400054E-2"/>
          <c:y val="1.4670959785805671E-2"/>
          <c:w val="0.96383864986160006"/>
          <c:h val="0.102703480602783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250097583955852E-2"/>
          <c:y val="1.2329511626481273E-2"/>
          <c:w val="0.93970716737330906"/>
          <c:h val="0.9153033903595692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Canon!$Q$2</c:f>
              <c:strCache>
                <c:ptCount val="1"/>
                <c:pt idx="0">
                  <c:v>CAATSDOSE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Canon!$F$7:$F$11</c:f>
              <c:strCache>
                <c:ptCount val="5"/>
                <c:pt idx="0">
                  <c:v>10cm PMMA
74kVp 4.6mmAl</c:v>
                </c:pt>
                <c:pt idx="1">
                  <c:v>15cm PMMA
74kVp 4.7mmAl</c:v>
                </c:pt>
                <c:pt idx="2">
                  <c:v>20cm PMMA
83kVp 7.2mmAl</c:v>
                </c:pt>
                <c:pt idx="3">
                  <c:v>25cm PMMA
105kVp 6.3mmAl</c:v>
                </c:pt>
                <c:pt idx="4">
                  <c:v>30cm PMMA
125kVp 7.2mmAl</c:v>
                </c:pt>
              </c:strCache>
              <c:extLst xmlns:c15="http://schemas.microsoft.com/office/drawing/2012/chart"/>
            </c:strRef>
          </c:cat>
          <c:val>
            <c:numRef>
              <c:f>Canon!$Q$7:$Q$11</c:f>
              <c:numCache>
                <c:formatCode>0%</c:formatCode>
                <c:ptCount val="5"/>
                <c:pt idx="0">
                  <c:v>1.0482117965715694</c:v>
                </c:pt>
                <c:pt idx="1">
                  <c:v>1.0201714500106214</c:v>
                </c:pt>
                <c:pt idx="2">
                  <c:v>0.96194672964081485</c:v>
                </c:pt>
                <c:pt idx="3">
                  <c:v>0.99950261561312737</c:v>
                </c:pt>
                <c:pt idx="4">
                  <c:v>0.89511416229309326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8E3-4809-960F-7A754ADA29F7}"/>
            </c:ext>
          </c:extLst>
        </c:ser>
        <c:ser>
          <c:idx val="1"/>
          <c:order val="3"/>
          <c:tx>
            <c:strRef>
              <c:f>Canon!$P$2</c:f>
              <c:strCache>
                <c:ptCount val="1"/>
                <c:pt idx="0">
                  <c:v>DTS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Canon!$F$7:$F$11</c:f>
              <c:strCache>
                <c:ptCount val="5"/>
                <c:pt idx="0">
                  <c:v>10cm PMMA
74kVp 4.6mmAl</c:v>
                </c:pt>
                <c:pt idx="1">
                  <c:v>15cm PMMA
74kVp 4.7mmAl</c:v>
                </c:pt>
                <c:pt idx="2">
                  <c:v>20cm PMMA
83kVp 7.2mmAl</c:v>
                </c:pt>
                <c:pt idx="3">
                  <c:v>25cm PMMA
105kVp 6.3mmAl</c:v>
                </c:pt>
                <c:pt idx="4">
                  <c:v>30cm PMMA
125kVp 7.2mmAl</c:v>
                </c:pt>
              </c:strCache>
            </c:strRef>
          </c:cat>
          <c:val>
            <c:numRef>
              <c:f>Canon!$P$7:$P$11</c:f>
              <c:numCache>
                <c:formatCode>0%</c:formatCode>
                <c:ptCount val="5"/>
                <c:pt idx="0">
                  <c:v>0.94750108339128403</c:v>
                </c:pt>
                <c:pt idx="1">
                  <c:v>0.86096896715404792</c:v>
                </c:pt>
                <c:pt idx="2">
                  <c:v>0.81835704030762091</c:v>
                </c:pt>
                <c:pt idx="3">
                  <c:v>1.4145959117654738</c:v>
                </c:pt>
                <c:pt idx="4">
                  <c:v>1.5509829195879965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3-4809-960F-7A754ADA29F7}"/>
            </c:ext>
          </c:extLst>
        </c:ser>
        <c:ser>
          <c:idx val="7"/>
          <c:order val="4"/>
          <c:tx>
            <c:strRef>
              <c:f>Canon!$U$2</c:f>
              <c:strCache>
                <c:ptCount val="1"/>
                <c:pt idx="0">
                  <c:v>EM.dose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Canon!$F$7:$F$11</c:f>
              <c:strCache>
                <c:ptCount val="5"/>
                <c:pt idx="0">
                  <c:v>10cm PMMA
74kVp 4.6mmAl</c:v>
                </c:pt>
                <c:pt idx="1">
                  <c:v>15cm PMMA
74kVp 4.7mmAl</c:v>
                </c:pt>
                <c:pt idx="2">
                  <c:v>20cm PMMA
83kVp 7.2mmAl</c:v>
                </c:pt>
                <c:pt idx="3">
                  <c:v>25cm PMMA
105kVp 6.3mmAl</c:v>
                </c:pt>
                <c:pt idx="4">
                  <c:v>30cm PMMA
125kVp 7.2mmAl</c:v>
                </c:pt>
              </c:strCache>
              <c:extLst xmlns:c15="http://schemas.microsoft.com/office/drawing/2012/chart"/>
            </c:strRef>
          </c:cat>
          <c:val>
            <c:numRef>
              <c:f>Canon!$U$7:$U$11</c:f>
              <c:numCache>
                <c:formatCode>0%</c:formatCode>
                <c:ptCount val="5"/>
                <c:pt idx="0">
                  <c:v>0.91049067980383802</c:v>
                </c:pt>
                <c:pt idx="1">
                  <c:v>0.84824528783650055</c:v>
                </c:pt>
                <c:pt idx="2">
                  <c:v>0.82431909666716341</c:v>
                </c:pt>
                <c:pt idx="3">
                  <c:v>0.84747190856023014</c:v>
                </c:pt>
                <c:pt idx="4">
                  <c:v>0.75029466237049169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E8E3-4809-960F-7A754ADA29F7}"/>
            </c:ext>
          </c:extLst>
        </c:ser>
        <c:ser>
          <c:idx val="8"/>
          <c:order val="5"/>
          <c:tx>
            <c:strRef>
              <c:f>Canon!$V$2</c:f>
              <c:strCache>
                <c:ptCount val="1"/>
                <c:pt idx="0">
                  <c:v>OpenSkin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Canon!$F$7:$F$11</c:f>
              <c:strCache>
                <c:ptCount val="5"/>
                <c:pt idx="0">
                  <c:v>10cm PMMA
74kVp 4.6mmAl</c:v>
                </c:pt>
                <c:pt idx="1">
                  <c:v>15cm PMMA
74kVp 4.7mmAl</c:v>
                </c:pt>
                <c:pt idx="2">
                  <c:v>20cm PMMA
83kVp 7.2mmAl</c:v>
                </c:pt>
                <c:pt idx="3">
                  <c:v>25cm PMMA
105kVp 6.3mmAl</c:v>
                </c:pt>
                <c:pt idx="4">
                  <c:v>30cm PMMA
125kVp 7.2mmAl</c:v>
                </c:pt>
              </c:strCache>
            </c:strRef>
          </c:cat>
          <c:val>
            <c:numRef>
              <c:f>Canon!$V$7:$V$11</c:f>
              <c:numCache>
                <c:formatCode>0%</c:formatCode>
                <c:ptCount val="5"/>
                <c:pt idx="0">
                  <c:v>1.0285578011235526</c:v>
                </c:pt>
                <c:pt idx="1">
                  <c:v>1.0025880488295236</c:v>
                </c:pt>
                <c:pt idx="2">
                  <c:v>0.93348373512342553</c:v>
                </c:pt>
                <c:pt idx="3">
                  <c:v>0.99058016056793208</c:v>
                </c:pt>
                <c:pt idx="4">
                  <c:v>0.88050929543456258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E3-4809-960F-7A754ADA29F7}"/>
            </c:ext>
          </c:extLst>
        </c:ser>
        <c:ser>
          <c:idx val="9"/>
          <c:order val="8"/>
          <c:tx>
            <c:strRef>
              <c:f>Canon!$W$2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Canon!$F$7:$F$11</c:f>
              <c:strCache>
                <c:ptCount val="5"/>
                <c:pt idx="0">
                  <c:v>10cm PMMA
74kVp 4.6mmAl</c:v>
                </c:pt>
                <c:pt idx="1">
                  <c:v>15cm PMMA
74kVp 4.7mmAl</c:v>
                </c:pt>
                <c:pt idx="2">
                  <c:v>20cm PMMA
83kVp 7.2mmAl</c:v>
                </c:pt>
                <c:pt idx="3">
                  <c:v>25cm PMMA
105kVp 6.3mmAl</c:v>
                </c:pt>
                <c:pt idx="4">
                  <c:v>30cm PMMA
125kVp 7.2mmAl</c:v>
                </c:pt>
              </c:strCache>
            </c:strRef>
          </c:cat>
          <c:val>
            <c:numRef>
              <c:f>Canon!$W$7:$W$11</c:f>
              <c:numCache>
                <c:formatCode>0%</c:formatCode>
                <c:ptCount val="5"/>
                <c:pt idx="0">
                  <c:v>0.94524223246810668</c:v>
                </c:pt>
                <c:pt idx="1">
                  <c:v>0.92272536189043708</c:v>
                </c:pt>
                <c:pt idx="2">
                  <c:v>0.88307559412352299</c:v>
                </c:pt>
                <c:pt idx="3">
                  <c:v>0.92618446972681512</c:v>
                </c:pt>
                <c:pt idx="4">
                  <c:v>0.8310680111902814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E3-4809-960F-7A754ADA2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523520"/>
        <c:axId val="585520240"/>
        <c:extLst>
          <c:ext xmlns:c15="http://schemas.microsoft.com/office/drawing/2012/chart" uri="{02D57815-91ED-43cb-92C2-25804820EDAC}">
            <c15:filteredBa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Canon!$S$2</c15:sqref>
                        </c15:formulaRef>
                      </c:ext>
                    </c:extLst>
                    <c:strCache>
                      <c:ptCount val="1"/>
                      <c:pt idx="0">
                        <c:v>DOSE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Canon!$F$7:$F$11</c15:sqref>
                        </c15:formulaRef>
                      </c:ext>
                    </c:extLst>
                    <c:strCache>
                      <c:ptCount val="5"/>
                      <c:pt idx="0">
                        <c:v>10cm PMMA
74kVp 4.6mmAl</c:v>
                      </c:pt>
                      <c:pt idx="1">
                        <c:v>15cm PMMA
74kVp 4.7mmAl</c:v>
                      </c:pt>
                      <c:pt idx="2">
                        <c:v>20cm PMMA
83kVp 7.2mmAl</c:v>
                      </c:pt>
                      <c:pt idx="3">
                        <c:v>25cm PMMA
105kVp 6.3mmAl</c:v>
                      </c:pt>
                      <c:pt idx="4">
                        <c:v>30cm PMMA
125kVp 7.2mmAl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Canon!$S$7:$S$11</c15:sqref>
                        </c15:formulaRef>
                      </c:ext>
                    </c:extLst>
                    <c:numCache>
                      <c:formatCode>0%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8E3-4809-960F-7A754ADA29F7}"/>
                  </c:ext>
                </c:extLst>
              </c15:ser>
            </c15:filteredBarSeries>
            <c15:filteredBarSeries>
              <c15:ser>
                <c:idx val="5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Canon!$T$2</c15:sqref>
                        </c15:formulaRef>
                      </c:ext>
                    </c:extLst>
                    <c:strCache>
                      <c:ptCount val="1"/>
                      <c:pt idx="0">
                        <c:v>RDM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Canon!$F$7:$F$11</c15:sqref>
                        </c15:formulaRef>
                      </c:ext>
                    </c:extLst>
                    <c:strCache>
                      <c:ptCount val="5"/>
                      <c:pt idx="0">
                        <c:v>10cm PMMA
74kVp 4.6mmAl</c:v>
                      </c:pt>
                      <c:pt idx="1">
                        <c:v>15cm PMMA
74kVp 4.7mmAl</c:v>
                      </c:pt>
                      <c:pt idx="2">
                        <c:v>20cm PMMA
83kVp 7.2mmAl</c:v>
                      </c:pt>
                      <c:pt idx="3">
                        <c:v>25cm PMMA
105kVp 6.3mmAl</c:v>
                      </c:pt>
                      <c:pt idx="4">
                        <c:v>30cm PMMA
125kVp 7.2mmAl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Canon!$T$7:$T$11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8E3-4809-960F-7A754ADA29F7}"/>
                  </c:ext>
                </c:extLst>
              </c15:ser>
            </c15:filteredBarSeries>
            <c15:filteredBarSeries>
              <c15:ser>
                <c:idx val="3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Canon!$R$2</c15:sqref>
                        </c15:formulaRef>
                      </c:ext>
                    </c:extLst>
                    <c:strCache>
                      <c:ptCount val="1"/>
                      <c:pt idx="0">
                        <c:v>SDM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Canon!$F$7:$F$11</c15:sqref>
                        </c15:formulaRef>
                      </c:ext>
                    </c:extLst>
                    <c:strCache>
                      <c:ptCount val="5"/>
                      <c:pt idx="0">
                        <c:v>10cm PMMA
74kVp 4.6mmAl</c:v>
                      </c:pt>
                      <c:pt idx="1">
                        <c:v>15cm PMMA
74kVp 4.7mmAl</c:v>
                      </c:pt>
                      <c:pt idx="2">
                        <c:v>20cm PMMA
83kVp 7.2mmAl</c:v>
                      </c:pt>
                      <c:pt idx="3">
                        <c:v>25cm PMMA
105kVp 6.3mmAl</c:v>
                      </c:pt>
                      <c:pt idx="4">
                        <c:v>30cm PMMA
125kVp 7.2mmAl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Canon!$R$7:$R$11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8E3-4809-960F-7A754ADA29F7}"/>
                  </c:ext>
                </c:extLst>
              </c15:ser>
            </c15:filteredBarSeries>
          </c:ext>
        </c:extLst>
      </c:barChart>
      <c:scatterChart>
        <c:scatterStyle val="lineMarker"/>
        <c:varyColors val="0"/>
        <c:ser>
          <c:idx val="10"/>
          <c:order val="0"/>
          <c:tx>
            <c:strRef>
              <c:f>Canon!$Y$2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Canon!$Z$7:$Z$11</c:f>
                <c:numCache>
                  <c:formatCode>General</c:formatCode>
                  <c:ptCount val="5"/>
                  <c:pt idx="0">
                    <c:v>5.9216901228521725E-2</c:v>
                  </c:pt>
                  <c:pt idx="1">
                    <c:v>7.8894764890523369E-2</c:v>
                  </c:pt>
                  <c:pt idx="2">
                    <c:v>6.4022878902926753E-2</c:v>
                  </c:pt>
                  <c:pt idx="3">
                    <c:v>0.2204153028018144</c:v>
                  </c:pt>
                  <c:pt idx="4">
                    <c:v>0.32328705451629736</c:v>
                  </c:pt>
                </c:numCache>
              </c:numRef>
            </c:plus>
            <c:minus>
              <c:numRef>
                <c:f>Canon!$Z$7:$Z$11</c:f>
                <c:numCache>
                  <c:formatCode>General</c:formatCode>
                  <c:ptCount val="5"/>
                  <c:pt idx="0">
                    <c:v>5.9216901228521725E-2</c:v>
                  </c:pt>
                  <c:pt idx="1">
                    <c:v>7.8894764890523369E-2</c:v>
                  </c:pt>
                  <c:pt idx="2">
                    <c:v>6.4022878902926753E-2</c:v>
                  </c:pt>
                  <c:pt idx="3">
                    <c:v>0.2204153028018144</c:v>
                  </c:pt>
                  <c:pt idx="4">
                    <c:v>0.32328705451629736</c:v>
                  </c:pt>
                </c:numCache>
              </c:numRef>
            </c:minus>
            <c:spPr>
              <a:noFill/>
              <a:ln w="38100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yVal>
            <c:numRef>
              <c:f>Canon!$Y$7:$Y$11</c:f>
              <c:numCache>
                <c:formatCode>0%</c:formatCode>
                <c:ptCount val="5"/>
                <c:pt idx="0">
                  <c:v>0.97600071867167004</c:v>
                </c:pt>
                <c:pt idx="1">
                  <c:v>0.9309398231442263</c:v>
                </c:pt>
                <c:pt idx="2">
                  <c:v>0.88423643917250949</c:v>
                </c:pt>
                <c:pt idx="3">
                  <c:v>1.0356670132467156</c:v>
                </c:pt>
                <c:pt idx="4">
                  <c:v>0.98159381017528502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E3-4809-960F-7A754ADA2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865264"/>
        <c:axId val="646869856"/>
      </c:scatterChart>
      <c:catAx>
        <c:axId val="585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240"/>
        <c:crosses val="autoZero"/>
        <c:auto val="1"/>
        <c:lblAlgn val="ctr"/>
        <c:lblOffset val="100"/>
        <c:noMultiLvlLbl val="0"/>
      </c:catAx>
      <c:valAx>
        <c:axId val="585520240"/>
        <c:scaling>
          <c:orientation val="minMax"/>
          <c:min val="0.60000000000000009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3520"/>
        <c:crosses val="autoZero"/>
        <c:crossBetween val="between"/>
      </c:valAx>
      <c:valAx>
        <c:axId val="64686985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646865264"/>
        <c:crosses val="max"/>
        <c:crossBetween val="midCat"/>
      </c:valAx>
      <c:valAx>
        <c:axId val="646865264"/>
        <c:scaling>
          <c:orientation val="minMax"/>
        </c:scaling>
        <c:delete val="1"/>
        <c:axPos val="b"/>
        <c:majorTickMark val="out"/>
        <c:minorTickMark val="none"/>
        <c:tickLblPos val="nextTo"/>
        <c:crossAx val="64686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153399286627634"/>
          <c:y val="6.2957942607142934E-3"/>
          <c:w val="0.71026087892859546"/>
          <c:h val="0.137465610669735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250097583955852E-2"/>
          <c:y val="1.2329511626481273E-2"/>
          <c:w val="0.93970716737330906"/>
          <c:h val="0.915303390359569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Canon!$Q$2</c:f>
              <c:strCache>
                <c:ptCount val="1"/>
                <c:pt idx="0">
                  <c:v>CAATSDOSE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(Canon!$F$12:$F$15,Canon!$F$17:$F$19)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  <c:extLst xmlns:c15="http://schemas.microsoft.com/office/drawing/2012/chart"/>
            </c:strRef>
          </c:cat>
          <c:val>
            <c:numRef>
              <c:f>(Canon!$Q$12:$Q$15,Canon!$Q$17:$Q$19)</c:f>
              <c:numCache>
                <c:formatCode>0%</c:formatCode>
                <c:ptCount val="7"/>
                <c:pt idx="0">
                  <c:v>1.2826170267209704</c:v>
                </c:pt>
                <c:pt idx="1">
                  <c:v>0.8460123436889917</c:v>
                </c:pt>
                <c:pt idx="2">
                  <c:v>0.71640144049423904</c:v>
                </c:pt>
                <c:pt idx="3">
                  <c:v>0.85877681152030116</c:v>
                </c:pt>
                <c:pt idx="4">
                  <c:v>0.81155339368171542</c:v>
                </c:pt>
                <c:pt idx="5">
                  <c:v>0.83679556383934683</c:v>
                </c:pt>
                <c:pt idx="6">
                  <c:v>0.72292443856354505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EE0-47F1-8A1F-E918E576862A}"/>
            </c:ext>
          </c:extLst>
        </c:ser>
        <c:ser>
          <c:idx val="1"/>
          <c:order val="2"/>
          <c:tx>
            <c:strRef>
              <c:f>Canon!$P$2</c:f>
              <c:strCache>
                <c:ptCount val="1"/>
                <c:pt idx="0">
                  <c:v>DTS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(Canon!$F$12:$F$15,Canon!$F$17:$F$19)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(Canon!$P$12:$P$15,Canon!$P$17:$P$19)</c:f>
              <c:numCache>
                <c:formatCode>0%</c:formatCode>
                <c:ptCount val="7"/>
                <c:pt idx="0">
                  <c:v>1.1147230100425105</c:v>
                </c:pt>
                <c:pt idx="1">
                  <c:v>1.0588184069684836</c:v>
                </c:pt>
                <c:pt idx="2">
                  <c:v>1.3357585706436466</c:v>
                </c:pt>
                <c:pt idx="3">
                  <c:v>1.6084722868923254</c:v>
                </c:pt>
                <c:pt idx="4">
                  <c:v>0.84530609889792852</c:v>
                </c:pt>
                <c:pt idx="5">
                  <c:v>0.84305487827750469</c:v>
                </c:pt>
                <c:pt idx="6">
                  <c:v>0.71553768429735021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E0-47F1-8A1F-E918E576862A}"/>
            </c:ext>
          </c:extLst>
        </c:ser>
        <c:ser>
          <c:idx val="7"/>
          <c:order val="6"/>
          <c:tx>
            <c:strRef>
              <c:f>Canon!$U$2</c:f>
              <c:strCache>
                <c:ptCount val="1"/>
                <c:pt idx="0">
                  <c:v>EM.dose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(Canon!$F$12:$F$15,Canon!$F$17:$F$19)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  <c:extLst xmlns:c15="http://schemas.microsoft.com/office/drawing/2012/chart"/>
            </c:strRef>
          </c:cat>
          <c:val>
            <c:numRef>
              <c:f>(Canon!$U$12:$U$15,Canon!$U$17:$U$19)</c:f>
              <c:numCache>
                <c:formatCode>0%</c:formatCode>
                <c:ptCount val="7"/>
                <c:pt idx="0">
                  <c:v>1.0941525018178109</c:v>
                </c:pt>
                <c:pt idx="1">
                  <c:v>0.72084512494709174</c:v>
                </c:pt>
                <c:pt idx="2">
                  <c:v>0.61305195479099128</c:v>
                </c:pt>
                <c:pt idx="3">
                  <c:v>0</c:v>
                </c:pt>
                <c:pt idx="4">
                  <c:v>0.72992940419277819</c:v>
                </c:pt>
                <c:pt idx="5">
                  <c:v>0.74015181803792984</c:v>
                </c:pt>
                <c:pt idx="6">
                  <c:v>0.83186851045745225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DEE0-47F1-8A1F-E918E576862A}"/>
            </c:ext>
          </c:extLst>
        </c:ser>
        <c:ser>
          <c:idx val="8"/>
          <c:order val="7"/>
          <c:tx>
            <c:strRef>
              <c:f>Canon!$V$2</c:f>
              <c:strCache>
                <c:ptCount val="1"/>
                <c:pt idx="0">
                  <c:v>OpenSkin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(Canon!$F$12:$F$15,Canon!$F$17:$F$19)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(Canon!$V$12:$V$15,Canon!$V$17:$V$19)</c:f>
              <c:numCache>
                <c:formatCode>0%</c:formatCode>
                <c:ptCount val="7"/>
                <c:pt idx="0">
                  <c:v>1.2325152550187028</c:v>
                </c:pt>
                <c:pt idx="1">
                  <c:v>0.7953268460159596</c:v>
                </c:pt>
                <c:pt idx="2">
                  <c:v>0.67649080331246148</c:v>
                </c:pt>
                <c:pt idx="3">
                  <c:v>0</c:v>
                </c:pt>
                <c:pt idx="4">
                  <c:v>0.82760065074426059</c:v>
                </c:pt>
                <c:pt idx="5">
                  <c:v>0.78945877885013893</c:v>
                </c:pt>
                <c:pt idx="6">
                  <c:v>0.86158053910511267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0-47F1-8A1F-E918E576862A}"/>
            </c:ext>
          </c:extLst>
        </c:ser>
        <c:ser>
          <c:idx val="9"/>
          <c:order val="8"/>
          <c:tx>
            <c:strRef>
              <c:f>Canon!$W$2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(Canon!$F$12:$F$15,Canon!$F$17:$F$19)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(Canon!$W$12:$W$15,Canon!$W$17:$W$19)</c:f>
              <c:numCache>
                <c:formatCode>0%</c:formatCode>
                <c:ptCount val="7"/>
                <c:pt idx="0">
                  <c:v>1.1823906068031182</c:v>
                </c:pt>
                <c:pt idx="1">
                  <c:v>0.77020813451043735</c:v>
                </c:pt>
                <c:pt idx="2">
                  <c:v>0.65513906169558378</c:v>
                </c:pt>
                <c:pt idx="3">
                  <c:v>0.61633923980546779</c:v>
                </c:pt>
                <c:pt idx="4">
                  <c:v>0.74118795541426064</c:v>
                </c:pt>
                <c:pt idx="5">
                  <c:v>0.79138606007763812</c:v>
                </c:pt>
                <c:pt idx="6">
                  <c:v>0.88115697117379466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E0-47F1-8A1F-E918E5768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523520"/>
        <c:axId val="585520240"/>
        <c:extLst>
          <c:ext xmlns:c15="http://schemas.microsoft.com/office/drawing/2012/chart" uri="{02D57815-91ED-43cb-92C2-25804820EDAC}">
            <c15:filteredBa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Canon!$R$2</c15:sqref>
                        </c15:formulaRef>
                      </c:ext>
                    </c:extLst>
                    <c:strCache>
                      <c:ptCount val="1"/>
                      <c:pt idx="0">
                        <c:v>SDM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(Canon!$F$12:$F$15,Canon!$F$17:$F$19)</c15:sqref>
                        </c15:formulaRef>
                      </c:ext>
                    </c:extLst>
                    <c:strCache>
                      <c:ptCount val="7"/>
                      <c:pt idx="0">
                        <c:v>PA</c:v>
                      </c:pt>
                      <c:pt idx="1">
                        <c:v>PA LAO</c:v>
                      </c:pt>
                      <c:pt idx="2">
                        <c:v>PA LAO CRAN</c:v>
                      </c:pt>
                      <c:pt idx="3">
                        <c:v>LAT</c:v>
                      </c:pt>
                      <c:pt idx="4">
                        <c:v>SP1</c:v>
                      </c:pt>
                      <c:pt idx="5">
                        <c:v>SP2</c:v>
                      </c:pt>
                      <c:pt idx="6">
                        <c:v>SP3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(Canon!$R$12:$R$15,Canon!$R$17:$R$19)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EE0-47F1-8A1F-E918E576862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Canon!$S$2</c15:sqref>
                        </c15:formulaRef>
                      </c:ext>
                    </c:extLst>
                    <c:strCache>
                      <c:ptCount val="1"/>
                      <c:pt idx="0">
                        <c:v>DOSE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(Canon!$F$12:$F$15,Canon!$F$17:$F$19)</c15:sqref>
                        </c15:formulaRef>
                      </c:ext>
                    </c:extLst>
                    <c:strCache>
                      <c:ptCount val="7"/>
                      <c:pt idx="0">
                        <c:v>PA</c:v>
                      </c:pt>
                      <c:pt idx="1">
                        <c:v>PA LAO</c:v>
                      </c:pt>
                      <c:pt idx="2">
                        <c:v>PA LAO CRAN</c:v>
                      </c:pt>
                      <c:pt idx="3">
                        <c:v>LAT</c:v>
                      </c:pt>
                      <c:pt idx="4">
                        <c:v>SP1</c:v>
                      </c:pt>
                      <c:pt idx="5">
                        <c:v>SP2</c:v>
                      </c:pt>
                      <c:pt idx="6">
                        <c:v>SP3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(Canon!$S$12:$S$15,Canon!$S$17:$S$19)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4">
                        <c:v>1.0938078788766099</c:v>
                      </c:pt>
                      <c:pt idx="5">
                        <c:v>0.9565974188962646</c:v>
                      </c:pt>
                      <c:pt idx="6">
                        <c:v>0.8374532540081131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EE0-47F1-8A1F-E918E576862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Canon!$T$2</c15:sqref>
                        </c15:formulaRef>
                      </c:ext>
                    </c:extLst>
                    <c:strCache>
                      <c:ptCount val="1"/>
                      <c:pt idx="0">
                        <c:v>RDM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(Canon!$F$12:$F$15,Canon!$F$17:$F$19)</c15:sqref>
                        </c15:formulaRef>
                      </c:ext>
                    </c:extLst>
                    <c:strCache>
                      <c:ptCount val="7"/>
                      <c:pt idx="0">
                        <c:v>PA</c:v>
                      </c:pt>
                      <c:pt idx="1">
                        <c:v>PA LAO</c:v>
                      </c:pt>
                      <c:pt idx="2">
                        <c:v>PA LAO CRAN</c:v>
                      </c:pt>
                      <c:pt idx="3">
                        <c:v>LAT</c:v>
                      </c:pt>
                      <c:pt idx="4">
                        <c:v>SP1</c:v>
                      </c:pt>
                      <c:pt idx="5">
                        <c:v>SP2</c:v>
                      </c:pt>
                      <c:pt idx="6">
                        <c:v>SP3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(Canon!$T$12:$T$15,Canon!$T$17:$T$19)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EE0-47F1-8A1F-E918E576862A}"/>
                  </c:ext>
                </c:extLst>
              </c15:ser>
            </c15:filteredBarSeries>
          </c:ext>
        </c:extLst>
      </c:barChart>
      <c:scatterChart>
        <c:scatterStyle val="lineMarker"/>
        <c:varyColors val="0"/>
        <c:ser>
          <c:idx val="10"/>
          <c:order val="3"/>
          <c:tx>
            <c:strRef>
              <c:f>Canon!$Y$2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(Canon!$Z$12:$Z$15,Canon!$Z$17:$Z$19)</c:f>
                <c:numCache>
                  <c:formatCode>General</c:formatCode>
                  <c:ptCount val="7"/>
                  <c:pt idx="0">
                    <c:v>7.8924824421924292E-2</c:v>
                  </c:pt>
                  <c:pt idx="1">
                    <c:v>0.13130753321795541</c:v>
                  </c:pt>
                  <c:pt idx="2">
                    <c:v>0.30216417519433952</c:v>
                  </c:pt>
                  <c:pt idx="3">
                    <c:v>0.51722774885185152</c:v>
                  </c:pt>
                  <c:pt idx="4">
                    <c:v>0.13211678368497329</c:v>
                  </c:pt>
                  <c:pt idx="5">
                    <c:v>7.3981142392192223E-2</c:v>
                  </c:pt>
                  <c:pt idx="6">
                    <c:v>7.1338752399733363E-2</c:v>
                  </c:pt>
                </c:numCache>
              </c:numRef>
            </c:plus>
            <c:minus>
              <c:numRef>
                <c:f>(Canon!$Z$12:$Z$15,Canon!$Z$17:$Z$19)</c:f>
                <c:numCache>
                  <c:formatCode>General</c:formatCode>
                  <c:ptCount val="7"/>
                  <c:pt idx="0">
                    <c:v>7.8924824421924292E-2</c:v>
                  </c:pt>
                  <c:pt idx="1">
                    <c:v>0.13130753321795541</c:v>
                  </c:pt>
                  <c:pt idx="2">
                    <c:v>0.30216417519433952</c:v>
                  </c:pt>
                  <c:pt idx="3">
                    <c:v>0.51722774885185152</c:v>
                  </c:pt>
                  <c:pt idx="4">
                    <c:v>0.13211678368497329</c:v>
                  </c:pt>
                  <c:pt idx="5">
                    <c:v>7.3981142392192223E-2</c:v>
                  </c:pt>
                  <c:pt idx="6">
                    <c:v>7.1338752399733363E-2</c:v>
                  </c:pt>
                </c:numCache>
              </c:numRef>
            </c:minus>
            <c:spPr>
              <a:noFill/>
              <a:ln w="38100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yVal>
            <c:numRef>
              <c:f>(Canon!$Y$12:$Y$15,Canon!$Y$17:$Y$19)</c:f>
              <c:numCache>
                <c:formatCode>0%</c:formatCode>
                <c:ptCount val="7"/>
                <c:pt idx="0">
                  <c:v>1.1812796800806225</c:v>
                </c:pt>
                <c:pt idx="1">
                  <c:v>0.83824217122619282</c:v>
                </c:pt>
                <c:pt idx="2">
                  <c:v>0.79936836618738438</c:v>
                </c:pt>
                <c:pt idx="3">
                  <c:v>1.0278627794060313</c:v>
                </c:pt>
                <c:pt idx="4">
                  <c:v>0.84156423030125893</c:v>
                </c:pt>
                <c:pt idx="5">
                  <c:v>0.82624075299647048</c:v>
                </c:pt>
                <c:pt idx="6">
                  <c:v>0.80842023293422793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EE0-47F1-8A1F-E918E5768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865264"/>
        <c:axId val="646869856"/>
      </c:scatterChart>
      <c:catAx>
        <c:axId val="585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240"/>
        <c:crosses val="autoZero"/>
        <c:auto val="1"/>
        <c:lblAlgn val="ctr"/>
        <c:lblOffset val="100"/>
        <c:noMultiLvlLbl val="0"/>
      </c:catAx>
      <c:valAx>
        <c:axId val="585520240"/>
        <c:scaling>
          <c:orientation val="minMax"/>
          <c:max val="1.8"/>
          <c:min val="0.60000000000000009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3520"/>
        <c:crosses val="autoZero"/>
        <c:crossBetween val="between"/>
      </c:valAx>
      <c:valAx>
        <c:axId val="64686985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646865264"/>
        <c:crosses val="max"/>
        <c:crossBetween val="midCat"/>
      </c:valAx>
      <c:valAx>
        <c:axId val="646865264"/>
        <c:scaling>
          <c:orientation val="minMax"/>
        </c:scaling>
        <c:delete val="1"/>
        <c:axPos val="b"/>
        <c:majorTickMark val="out"/>
        <c:minorTickMark val="none"/>
        <c:tickLblPos val="nextTo"/>
        <c:crossAx val="64686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153399286627634"/>
          <c:y val="6.2957942607142934E-3"/>
          <c:w val="0.71026087892859546"/>
          <c:h val="0.137465610669735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250097583955852E-2"/>
          <c:y val="1.2329511626481273E-2"/>
          <c:w val="0.93970716737330906"/>
          <c:h val="0.9153033903595692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Philips!$Q$2</c:f>
              <c:strCache>
                <c:ptCount val="1"/>
                <c:pt idx="0">
                  <c:v>CAATSDOSE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Philips!$F$7:$F$11</c:f>
              <c:strCache>
                <c:ptCount val="5"/>
                <c:pt idx="0">
                  <c:v>10cm PMMA
63kVp 4.1mmAl</c:v>
                </c:pt>
                <c:pt idx="1">
                  <c:v>15cm PMMA
67kVp 4.4mmAl</c:v>
                </c:pt>
                <c:pt idx="2">
                  <c:v>20cm PMMA
72kVp 4.7mmAl</c:v>
                </c:pt>
                <c:pt idx="3">
                  <c:v>25cm PMMA
78kVp 5.2mmAl</c:v>
                </c:pt>
                <c:pt idx="4">
                  <c:v>30cm PMMA
96kVp 6.1mmAl</c:v>
                </c:pt>
              </c:strCache>
              <c:extLst xmlns:c15="http://schemas.microsoft.com/office/drawing/2012/chart"/>
            </c:strRef>
          </c:cat>
          <c:val>
            <c:numRef>
              <c:f>Philips!$Q$7:$Q$11</c:f>
              <c:numCache>
                <c:formatCode>0%</c:formatCode>
                <c:ptCount val="5"/>
                <c:pt idx="0">
                  <c:v>1.4213095142698784</c:v>
                </c:pt>
                <c:pt idx="1">
                  <c:v>1.3541349527591544</c:v>
                </c:pt>
                <c:pt idx="2">
                  <c:v>1.3555449555350478</c:v>
                </c:pt>
                <c:pt idx="3">
                  <c:v>1.3376162542365075</c:v>
                </c:pt>
                <c:pt idx="4">
                  <c:v>1.296616843337818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E48-4E5A-A34B-1760ABD90FD6}"/>
            </c:ext>
          </c:extLst>
        </c:ser>
        <c:ser>
          <c:idx val="4"/>
          <c:order val="2"/>
          <c:tx>
            <c:strRef>
              <c:f>Philips!$S$2</c:f>
              <c:strCache>
                <c:ptCount val="1"/>
                <c:pt idx="0">
                  <c:v>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Philips!$F$7:$F$11</c:f>
              <c:strCache>
                <c:ptCount val="5"/>
                <c:pt idx="0">
                  <c:v>10cm PMMA
63kVp 4.1mmAl</c:v>
                </c:pt>
                <c:pt idx="1">
                  <c:v>15cm PMMA
67kVp 4.4mmAl</c:v>
                </c:pt>
                <c:pt idx="2">
                  <c:v>20cm PMMA
72kVp 4.7mmAl</c:v>
                </c:pt>
                <c:pt idx="3">
                  <c:v>25cm PMMA
78kVp 5.2mmAl</c:v>
                </c:pt>
                <c:pt idx="4">
                  <c:v>30cm PMMA
96kVp 6.1mmAl</c:v>
                </c:pt>
              </c:strCache>
              <c:extLst xmlns:c15="http://schemas.microsoft.com/office/drawing/2012/chart"/>
            </c:strRef>
          </c:cat>
          <c:val>
            <c:numRef>
              <c:f>Philips!$S$7:$S$11</c:f>
              <c:numCache>
                <c:formatCode>0%</c:formatCode>
                <c:ptCount val="5"/>
                <c:pt idx="0">
                  <c:v>1.4062594144064915</c:v>
                </c:pt>
                <c:pt idx="1">
                  <c:v>1.3728725316297838</c:v>
                </c:pt>
                <c:pt idx="2">
                  <c:v>1.3584850972240772</c:v>
                </c:pt>
                <c:pt idx="3">
                  <c:v>1.3511429587021839</c:v>
                </c:pt>
                <c:pt idx="4">
                  <c:v>1.3265887068970303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E48-4E5A-A34B-1760ABD90FD6}"/>
            </c:ext>
          </c:extLst>
        </c:ser>
        <c:ser>
          <c:idx val="7"/>
          <c:order val="3"/>
          <c:tx>
            <c:strRef>
              <c:f>Philips!$U$2</c:f>
              <c:strCache>
                <c:ptCount val="1"/>
                <c:pt idx="0">
                  <c:v>EM.dose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Philips!$F$7:$F$11</c:f>
              <c:strCache>
                <c:ptCount val="5"/>
                <c:pt idx="0">
                  <c:v>10cm PMMA
63kVp 4.1mmAl</c:v>
                </c:pt>
                <c:pt idx="1">
                  <c:v>15cm PMMA
67kVp 4.4mmAl</c:v>
                </c:pt>
                <c:pt idx="2">
                  <c:v>20cm PMMA
72kVp 4.7mmAl</c:v>
                </c:pt>
                <c:pt idx="3">
                  <c:v>25cm PMMA
78kVp 5.2mmAl</c:v>
                </c:pt>
                <c:pt idx="4">
                  <c:v>30cm PMMA
96kVp 6.1mmAl</c:v>
                </c:pt>
              </c:strCache>
              <c:extLst xmlns:c15="http://schemas.microsoft.com/office/drawing/2012/chart"/>
            </c:strRef>
          </c:cat>
          <c:val>
            <c:numRef>
              <c:f>Philips!$U$7:$U$11</c:f>
              <c:numCache>
                <c:formatCode>0%</c:formatCode>
                <c:ptCount val="5"/>
                <c:pt idx="0">
                  <c:v>1.1446538027558719</c:v>
                </c:pt>
                <c:pt idx="1">
                  <c:v>1.0868574208735788</c:v>
                </c:pt>
                <c:pt idx="2">
                  <c:v>1.080723412166654</c:v>
                </c:pt>
                <c:pt idx="3">
                  <c:v>1.0471357929941925</c:v>
                </c:pt>
                <c:pt idx="4">
                  <c:v>1.0090004865773878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8E48-4E5A-A34B-1760ABD90FD6}"/>
            </c:ext>
          </c:extLst>
        </c:ser>
        <c:ser>
          <c:idx val="8"/>
          <c:order val="5"/>
          <c:tx>
            <c:strRef>
              <c:f>Philips!$V$2</c:f>
              <c:strCache>
                <c:ptCount val="1"/>
                <c:pt idx="0">
                  <c:v>OpenSkin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Philips!$F$7:$F$11</c:f>
              <c:strCache>
                <c:ptCount val="5"/>
                <c:pt idx="0">
                  <c:v>10cm PMMA
63kVp 4.1mmAl</c:v>
                </c:pt>
                <c:pt idx="1">
                  <c:v>15cm PMMA
67kVp 4.4mmAl</c:v>
                </c:pt>
                <c:pt idx="2">
                  <c:v>20cm PMMA
72kVp 4.7mmAl</c:v>
                </c:pt>
                <c:pt idx="3">
                  <c:v>25cm PMMA
78kVp 5.2mmAl</c:v>
                </c:pt>
                <c:pt idx="4">
                  <c:v>30cm PMMA
96kVp 6.1mmAl</c:v>
                </c:pt>
              </c:strCache>
            </c:strRef>
          </c:cat>
          <c:val>
            <c:numRef>
              <c:f>Philips!$V$7:$V$11</c:f>
              <c:numCache>
                <c:formatCode>0%</c:formatCode>
                <c:ptCount val="5"/>
                <c:pt idx="0">
                  <c:v>1.3011062343404189</c:v>
                </c:pt>
                <c:pt idx="1">
                  <c:v>1.2307807686704006</c:v>
                </c:pt>
                <c:pt idx="2">
                  <c:v>1.2211835518416787</c:v>
                </c:pt>
                <c:pt idx="3">
                  <c:v>1.1678192890638397</c:v>
                </c:pt>
                <c:pt idx="4">
                  <c:v>1.1460481712477768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48-4E5A-A34B-1760ABD90FD6}"/>
            </c:ext>
          </c:extLst>
        </c:ser>
        <c:ser>
          <c:idx val="3"/>
          <c:order val="7"/>
          <c:tx>
            <c:strRef>
              <c:f>Philips!$R$2</c:f>
              <c:strCache>
                <c:ptCount val="1"/>
                <c:pt idx="0">
                  <c:v>SDM flat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Philips!$F$7:$F$11</c:f>
              <c:strCache>
                <c:ptCount val="5"/>
                <c:pt idx="0">
                  <c:v>10cm PMMA
63kVp 4.1mmAl</c:v>
                </c:pt>
                <c:pt idx="1">
                  <c:v>15cm PMMA
67kVp 4.4mmAl</c:v>
                </c:pt>
                <c:pt idx="2">
                  <c:v>20cm PMMA
72kVp 4.7mmAl</c:v>
                </c:pt>
                <c:pt idx="3">
                  <c:v>25cm PMMA
78kVp 5.2mmAl</c:v>
                </c:pt>
                <c:pt idx="4">
                  <c:v>30cm PMMA
96kVp 6.1mmAl</c:v>
                </c:pt>
              </c:strCache>
              <c:extLst xmlns:c15="http://schemas.microsoft.com/office/drawing/2012/chart"/>
            </c:strRef>
          </c:cat>
          <c:val>
            <c:numRef>
              <c:f>Philips!$R$7:$R$11</c:f>
              <c:numCache>
                <c:formatCode>0%</c:formatCode>
                <c:ptCount val="5"/>
                <c:pt idx="0">
                  <c:v>1.032028967890317</c:v>
                </c:pt>
                <c:pt idx="1">
                  <c:v>0.99401056003076471</c:v>
                </c:pt>
                <c:pt idx="2">
                  <c:v>1.0102762564106058</c:v>
                </c:pt>
                <c:pt idx="3">
                  <c:v>1.0015722498868467</c:v>
                </c:pt>
                <c:pt idx="4">
                  <c:v>1.0069673451896437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E48-4E5A-A34B-1760ABD90FD6}"/>
            </c:ext>
          </c:extLst>
        </c:ser>
        <c:ser>
          <c:idx val="0"/>
          <c:order val="8"/>
          <c:tx>
            <c:strRef>
              <c:f>Philips!$X$2</c:f>
              <c:strCache>
                <c:ptCount val="1"/>
                <c:pt idx="0">
                  <c:v>SDM ICRP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Philips!$F$7:$F$11</c:f>
              <c:strCache>
                <c:ptCount val="5"/>
                <c:pt idx="0">
                  <c:v>10cm PMMA
63kVp 4.1mmAl</c:v>
                </c:pt>
                <c:pt idx="1">
                  <c:v>15cm PMMA
67kVp 4.4mmAl</c:v>
                </c:pt>
                <c:pt idx="2">
                  <c:v>20cm PMMA
72kVp 4.7mmAl</c:v>
                </c:pt>
                <c:pt idx="3">
                  <c:v>25cm PMMA
78kVp 5.2mmAl</c:v>
                </c:pt>
                <c:pt idx="4">
                  <c:v>30cm PMMA
96kVp 6.1mmAl</c:v>
                </c:pt>
              </c:strCache>
            </c:strRef>
          </c:cat>
          <c:val>
            <c:numRef>
              <c:f>Philips!$X$7:$X$11</c:f>
              <c:numCache>
                <c:formatCode>0%</c:formatCode>
                <c:ptCount val="5"/>
                <c:pt idx="0">
                  <c:v>0.970401717082503</c:v>
                </c:pt>
                <c:pt idx="1">
                  <c:v>0.93477365264747936</c:v>
                </c:pt>
                <c:pt idx="2">
                  <c:v>0.95021180818334106</c:v>
                </c:pt>
                <c:pt idx="3">
                  <c:v>0.94418620589085678</c:v>
                </c:pt>
                <c:pt idx="4">
                  <c:v>0.95099106953557544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9-4979-A9D2-8D57FD66825F}"/>
            </c:ext>
          </c:extLst>
        </c:ser>
        <c:ser>
          <c:idx val="9"/>
          <c:order val="9"/>
          <c:tx>
            <c:strRef>
              <c:f>Philips!$W$2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Philips!$F$7:$F$11</c:f>
              <c:strCache>
                <c:ptCount val="5"/>
                <c:pt idx="0">
                  <c:v>10cm PMMA
63kVp 4.1mmAl</c:v>
                </c:pt>
                <c:pt idx="1">
                  <c:v>15cm PMMA
67kVp 4.4mmAl</c:v>
                </c:pt>
                <c:pt idx="2">
                  <c:v>20cm PMMA
72kVp 4.7mmAl</c:v>
                </c:pt>
                <c:pt idx="3">
                  <c:v>25cm PMMA
78kVp 5.2mmAl</c:v>
                </c:pt>
                <c:pt idx="4">
                  <c:v>30cm PMMA
96kVp 6.1mmAl</c:v>
                </c:pt>
              </c:strCache>
            </c:strRef>
          </c:cat>
          <c:val>
            <c:numRef>
              <c:f>Philips!$W$7:$W$11</c:f>
              <c:numCache>
                <c:formatCode>0%</c:formatCode>
                <c:ptCount val="5"/>
                <c:pt idx="0">
                  <c:v>0.99575574711283177</c:v>
                </c:pt>
                <c:pt idx="1">
                  <c:v>0.95529046992572453</c:v>
                </c:pt>
                <c:pt idx="2">
                  <c:v>0.96064303303702592</c:v>
                </c:pt>
                <c:pt idx="3">
                  <c:v>0.96268935807530598</c:v>
                </c:pt>
                <c:pt idx="4">
                  <c:v>0.9570904936988085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8E48-4E5A-A34B-1760ABD90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523520"/>
        <c:axId val="585520240"/>
        <c:extLst>
          <c:ext xmlns:c15="http://schemas.microsoft.com/office/drawing/2012/chart" uri="{02D57815-91ED-43cb-92C2-25804820EDAC}">
            <c15:filteredBarSeries>
              <c15:ser>
                <c:idx val="1"/>
                <c:order val="4"/>
                <c:tx>
                  <c:strRef>
                    <c:extLst>
                      <c:ext uri="{02D57815-91ED-43cb-92C2-25804820EDAC}">
                        <c15:formulaRef>
                          <c15:sqref>Philips!$P$2</c15:sqref>
                        </c15:formulaRef>
                      </c:ext>
                    </c:extLst>
                    <c:strCache>
                      <c:ptCount val="1"/>
                      <c:pt idx="0">
                        <c:v>Modality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Philips!$F$7:$F$11</c15:sqref>
                        </c15:formulaRef>
                      </c:ext>
                    </c:extLst>
                    <c:strCache>
                      <c:ptCount val="5"/>
                      <c:pt idx="0">
                        <c:v>10cm PMMA
63kVp 4.1mmAl</c:v>
                      </c:pt>
                      <c:pt idx="1">
                        <c:v>15cm PMMA
67kVp 4.4mmAl</c:v>
                      </c:pt>
                      <c:pt idx="2">
                        <c:v>20cm PMMA
72kVp 4.7mmAl</c:v>
                      </c:pt>
                      <c:pt idx="3">
                        <c:v>25cm PMMA
78kVp 5.2mmAl</c:v>
                      </c:pt>
                      <c:pt idx="4">
                        <c:v>30cm PMMA
96kVp 6.1mmAl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Philips!$P$7:$P$11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E48-4E5A-A34B-1760ABD90FD6}"/>
                  </c:ext>
                </c:extLst>
              </c15:ser>
            </c15:filteredBarSeries>
            <c15:filteredBarSeries>
              <c15:ser>
                <c:idx val="5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Philips!$T$2</c15:sqref>
                        </c15:formulaRef>
                      </c:ext>
                    </c:extLst>
                    <c:strCache>
                      <c:ptCount val="1"/>
                      <c:pt idx="0">
                        <c:v>RDM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Philips!$F$7:$F$11</c15:sqref>
                        </c15:formulaRef>
                      </c:ext>
                    </c:extLst>
                    <c:strCache>
                      <c:ptCount val="5"/>
                      <c:pt idx="0">
                        <c:v>10cm PMMA
63kVp 4.1mmAl</c:v>
                      </c:pt>
                      <c:pt idx="1">
                        <c:v>15cm PMMA
67kVp 4.4mmAl</c:v>
                      </c:pt>
                      <c:pt idx="2">
                        <c:v>20cm PMMA
72kVp 4.7mmAl</c:v>
                      </c:pt>
                      <c:pt idx="3">
                        <c:v>25cm PMMA
78kVp 5.2mmAl</c:v>
                      </c:pt>
                      <c:pt idx="4">
                        <c:v>30cm PMMA
96kVp 6.1mmAl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Philips!$T$7:$T$11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E48-4E5A-A34B-1760ABD90FD6}"/>
                  </c:ext>
                </c:extLst>
              </c15:ser>
            </c15:filteredBarSeries>
          </c:ext>
        </c:extLst>
      </c:barChart>
      <c:scatterChart>
        <c:scatterStyle val="lineMarker"/>
        <c:varyColors val="0"/>
        <c:ser>
          <c:idx val="10"/>
          <c:order val="0"/>
          <c:tx>
            <c:strRef>
              <c:f>Philips!$Z$2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Philips!$AA$7:$AA$11</c:f>
                <c:numCache>
                  <c:formatCode>General</c:formatCode>
                  <c:ptCount val="5"/>
                  <c:pt idx="0">
                    <c:v>0.19368941879721294</c:v>
                  </c:pt>
                  <c:pt idx="1">
                    <c:v>0.18633366084484917</c:v>
                  </c:pt>
                  <c:pt idx="2">
                    <c:v>0.17750740399419787</c:v>
                  </c:pt>
                  <c:pt idx="3">
                    <c:v>0.17221659420140034</c:v>
                  </c:pt>
                  <c:pt idx="4">
                    <c:v>0.15899550675704896</c:v>
                  </c:pt>
                </c:numCache>
              </c:numRef>
            </c:plus>
            <c:minus>
              <c:numRef>
                <c:f>Philips!$AA$7:$AA$11</c:f>
                <c:numCache>
                  <c:formatCode>General</c:formatCode>
                  <c:ptCount val="5"/>
                  <c:pt idx="0">
                    <c:v>0.19368941879721294</c:v>
                  </c:pt>
                  <c:pt idx="1">
                    <c:v>0.18633366084484917</c:v>
                  </c:pt>
                  <c:pt idx="2">
                    <c:v>0.17750740399419787</c:v>
                  </c:pt>
                  <c:pt idx="3">
                    <c:v>0.17221659420140034</c:v>
                  </c:pt>
                  <c:pt idx="4">
                    <c:v>0.15899550675704896</c:v>
                  </c:pt>
                </c:numCache>
              </c:numRef>
            </c:minus>
            <c:spPr>
              <a:noFill/>
              <a:ln w="38100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yVal>
            <c:numRef>
              <c:f>Philips!$Z$7:$Z$11</c:f>
              <c:numCache>
                <c:formatCode>0%</c:formatCode>
                <c:ptCount val="5"/>
                <c:pt idx="0">
                  <c:v>1.1816450568369017</c:v>
                </c:pt>
                <c:pt idx="1">
                  <c:v>1.1326743366481267</c:v>
                </c:pt>
                <c:pt idx="2">
                  <c:v>1.13386687348549</c:v>
                </c:pt>
                <c:pt idx="3">
                  <c:v>1.1160231584071045</c:v>
                </c:pt>
                <c:pt idx="4">
                  <c:v>1.0990433023548631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E48-4E5A-A34B-1760ABD90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865264"/>
        <c:axId val="646869856"/>
      </c:scatterChart>
      <c:catAx>
        <c:axId val="585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240"/>
        <c:crosses val="autoZero"/>
        <c:auto val="1"/>
        <c:lblAlgn val="ctr"/>
        <c:lblOffset val="100"/>
        <c:noMultiLvlLbl val="0"/>
      </c:catAx>
      <c:valAx>
        <c:axId val="585520240"/>
        <c:scaling>
          <c:orientation val="minMax"/>
          <c:min val="0.60000000000000009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3520"/>
        <c:crosses val="autoZero"/>
        <c:crossBetween val="between"/>
      </c:valAx>
      <c:valAx>
        <c:axId val="64686985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646865264"/>
        <c:crosses val="max"/>
        <c:crossBetween val="midCat"/>
      </c:valAx>
      <c:valAx>
        <c:axId val="646865264"/>
        <c:scaling>
          <c:orientation val="minMax"/>
        </c:scaling>
        <c:delete val="1"/>
        <c:axPos val="b"/>
        <c:majorTickMark val="out"/>
        <c:minorTickMark val="none"/>
        <c:tickLblPos val="nextTo"/>
        <c:crossAx val="64686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0470827417064669E-2"/>
          <c:y val="1.2578987250024711E-2"/>
          <c:w val="0.8729669549503033"/>
          <c:h val="0.10286462623134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250097583955852E-2"/>
          <c:y val="1.2329511626481273E-2"/>
          <c:w val="0.93970716737330906"/>
          <c:h val="0.915303390359569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Philips!$Q$2</c:f>
              <c:strCache>
                <c:ptCount val="1"/>
                <c:pt idx="0">
                  <c:v>CAATSDOSE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(Philips!$F$12:$F$15,Philips!$F$17:$F$19)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  <c:extLst xmlns:c15="http://schemas.microsoft.com/office/drawing/2012/chart"/>
            </c:strRef>
          </c:cat>
          <c:val>
            <c:numRef>
              <c:f>(Philips!$Q$12:$Q$15,Philips!$Q$17:$Q$19)</c:f>
              <c:numCache>
                <c:formatCode>0%</c:formatCode>
                <c:ptCount val="7"/>
                <c:pt idx="0">
                  <c:v>1.1839382390706736</c:v>
                </c:pt>
                <c:pt idx="1">
                  <c:v>1.4322284846875457</c:v>
                </c:pt>
                <c:pt idx="2">
                  <c:v>1.4418414152306323</c:v>
                </c:pt>
                <c:pt idx="3">
                  <c:v>1.1944163728545087</c:v>
                </c:pt>
                <c:pt idx="4">
                  <c:v>1.5503522975153583</c:v>
                </c:pt>
                <c:pt idx="5">
                  <c:v>1.159280802342751</c:v>
                </c:pt>
                <c:pt idx="6">
                  <c:v>0.85807627245159857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060-4D0C-87E9-5D4C51D83696}"/>
            </c:ext>
          </c:extLst>
        </c:ser>
        <c:ser>
          <c:idx val="4"/>
          <c:order val="3"/>
          <c:tx>
            <c:strRef>
              <c:f>Philips!$S$2</c:f>
              <c:strCache>
                <c:ptCount val="1"/>
                <c:pt idx="0">
                  <c:v>DOSE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(Philips!$F$12:$F$15,Philips!$F$17:$F$19)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(Philips!$S$12:$S$15,Philips!$S$17:$S$19)</c:f>
              <c:numCache>
                <c:formatCode>0%</c:formatCode>
                <c:ptCount val="7"/>
                <c:pt idx="0">
                  <c:v>1.2085087128515466</c:v>
                </c:pt>
                <c:pt idx="1">
                  <c:v>1.3843940205150114</c:v>
                </c:pt>
                <c:pt idx="2">
                  <c:v>1.3657223196239239</c:v>
                </c:pt>
                <c:pt idx="3">
                  <c:v>1.0922874457612506</c:v>
                </c:pt>
                <c:pt idx="4">
                  <c:v>1.4424643159163768</c:v>
                </c:pt>
                <c:pt idx="5">
                  <c:v>1.1410205139470422</c:v>
                </c:pt>
                <c:pt idx="6">
                  <c:v>1.3907561077372401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60-4D0C-87E9-5D4C51D83696}"/>
            </c:ext>
          </c:extLst>
        </c:ser>
        <c:ser>
          <c:idx val="7"/>
          <c:order val="4"/>
          <c:tx>
            <c:strRef>
              <c:f>Philips!$U$2</c:f>
              <c:strCache>
                <c:ptCount val="1"/>
                <c:pt idx="0">
                  <c:v>EM.dose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(Philips!$F$12:$F$15,Philips!$F$17:$F$19)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  <c:extLst xmlns:c15="http://schemas.microsoft.com/office/drawing/2012/chart"/>
            </c:strRef>
          </c:cat>
          <c:val>
            <c:numRef>
              <c:f>(Philips!$U$12:$U$15,Philips!$U$17:$U$19)</c:f>
              <c:numCache>
                <c:formatCode>0%</c:formatCode>
                <c:ptCount val="7"/>
                <c:pt idx="0">
                  <c:v>0.92904107300462646</c:v>
                </c:pt>
                <c:pt idx="1">
                  <c:v>1.1360174462461414</c:v>
                </c:pt>
                <c:pt idx="2">
                  <c:v>1.1459263838094487</c:v>
                </c:pt>
                <c:pt idx="3">
                  <c:v>0</c:v>
                </c:pt>
                <c:pt idx="4">
                  <c:v>1.2684118614703443</c:v>
                </c:pt>
                <c:pt idx="5">
                  <c:v>1.4910066138981057</c:v>
                </c:pt>
                <c:pt idx="6">
                  <c:v>1.3768485466598674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5060-4D0C-87E9-5D4C51D83696}"/>
            </c:ext>
          </c:extLst>
        </c:ser>
        <c:ser>
          <c:idx val="8"/>
          <c:order val="5"/>
          <c:tx>
            <c:strRef>
              <c:f>Philips!$V$2</c:f>
              <c:strCache>
                <c:ptCount val="1"/>
                <c:pt idx="0">
                  <c:v>OpenSkin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(Philips!$F$12:$F$15,Philips!$F$17:$F$19)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(Philips!$V$12:$V$15,Philips!$V$17:$V$19)</c:f>
              <c:numCache>
                <c:formatCode>0%</c:formatCode>
                <c:ptCount val="7"/>
                <c:pt idx="0">
                  <c:v>1.0486317718294553</c:v>
                </c:pt>
                <c:pt idx="1">
                  <c:v>0.71448750483905865</c:v>
                </c:pt>
                <c:pt idx="2">
                  <c:v>0.83156819877683141</c:v>
                </c:pt>
                <c:pt idx="3">
                  <c:v>0</c:v>
                </c:pt>
                <c:pt idx="4">
                  <c:v>1.4025297531501311</c:v>
                </c:pt>
                <c:pt idx="5">
                  <c:v>1.0335909486450401</c:v>
                </c:pt>
                <c:pt idx="6">
                  <c:v>1.1083467309505046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60-4D0C-87E9-5D4C51D83696}"/>
            </c:ext>
          </c:extLst>
        </c:ser>
        <c:ser>
          <c:idx val="3"/>
          <c:order val="7"/>
          <c:tx>
            <c:strRef>
              <c:f>Philips!$R$2</c:f>
              <c:strCache>
                <c:ptCount val="1"/>
                <c:pt idx="0">
                  <c:v>SDM flat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(Philips!$F$12:$F$15,Philips!$F$17:$F$19)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  <c:extLst xmlns:c15="http://schemas.microsoft.com/office/drawing/2012/chart"/>
            </c:strRef>
          </c:cat>
          <c:val>
            <c:numRef>
              <c:f>(Philips!$R$12:$R$15,Philips!$R$17:$R$19)</c:f>
              <c:numCache>
                <c:formatCode>0%</c:formatCode>
                <c:ptCount val="7"/>
                <c:pt idx="0">
                  <c:v>0.85166294569565937</c:v>
                </c:pt>
                <c:pt idx="1">
                  <c:v>0.97021590355387333</c:v>
                </c:pt>
                <c:pt idx="2">
                  <c:v>0.99054701740390172</c:v>
                </c:pt>
                <c:pt idx="3">
                  <c:v>0</c:v>
                </c:pt>
                <c:pt idx="4">
                  <c:v>1.1277421526212341</c:v>
                </c:pt>
                <c:pt idx="5">
                  <c:v>1.145877165365381</c:v>
                </c:pt>
                <c:pt idx="6">
                  <c:v>1.2104523047919278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5060-4D0C-87E9-5D4C51D83696}"/>
            </c:ext>
          </c:extLst>
        </c:ser>
        <c:ser>
          <c:idx val="0"/>
          <c:order val="8"/>
          <c:tx>
            <c:strRef>
              <c:f>Philips!$X$2</c:f>
              <c:strCache>
                <c:ptCount val="1"/>
                <c:pt idx="0">
                  <c:v>SDM ICRP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val>
            <c:numRef>
              <c:f>(Philips!$X$12:$X$15,Philips!$X$17:$X$19)</c:f>
              <c:numCache>
                <c:formatCode>0%</c:formatCode>
                <c:ptCount val="7"/>
                <c:pt idx="0">
                  <c:v>0.8488430920323391</c:v>
                </c:pt>
                <c:pt idx="1">
                  <c:v>0.96109519000695065</c:v>
                </c:pt>
                <c:pt idx="2">
                  <c:v>0.97034570809279785</c:v>
                </c:pt>
                <c:pt idx="3">
                  <c:v>1.4997106630301973</c:v>
                </c:pt>
                <c:pt idx="4">
                  <c:v>1.1049571040392083</c:v>
                </c:pt>
                <c:pt idx="5">
                  <c:v>1.1309853848115592</c:v>
                </c:pt>
                <c:pt idx="6">
                  <c:v>1.1715147322563386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C-4ECE-A824-A23D55B27F56}"/>
            </c:ext>
          </c:extLst>
        </c:ser>
        <c:ser>
          <c:idx val="9"/>
          <c:order val="9"/>
          <c:tx>
            <c:strRef>
              <c:f>Philips!$W$2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(Philips!$F$12:$F$15,Philips!$F$17:$F$19)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cat>
          <c:val>
            <c:numRef>
              <c:f>(Philips!$W$12:$W$15,Philips!$W$17:$W$19)</c:f>
              <c:numCache>
                <c:formatCode>0%</c:formatCode>
                <c:ptCount val="7"/>
                <c:pt idx="0">
                  <c:v>0.83840291954076041</c:v>
                </c:pt>
                <c:pt idx="1">
                  <c:v>0.99859598097443092</c:v>
                </c:pt>
                <c:pt idx="2">
                  <c:v>1.0050862695982312</c:v>
                </c:pt>
                <c:pt idx="3">
                  <c:v>1.2288233764814069</c:v>
                </c:pt>
                <c:pt idx="4">
                  <c:v>1.4505597789138667</c:v>
                </c:pt>
                <c:pt idx="5">
                  <c:v>1.2803566728617291</c:v>
                </c:pt>
                <c:pt idx="6">
                  <c:v>1.2377729358861436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060-4D0C-87E9-5D4C51D8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523520"/>
        <c:axId val="585520240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Philips!$P$2</c15:sqref>
                        </c15:formulaRef>
                      </c:ext>
                    </c:extLst>
                    <c:strCache>
                      <c:ptCount val="1"/>
                      <c:pt idx="0">
                        <c:v>Modality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(Philips!$F$12:$F$15,Philips!$F$17:$F$19)</c15:sqref>
                        </c15:formulaRef>
                      </c:ext>
                    </c:extLst>
                    <c:strCache>
                      <c:ptCount val="7"/>
                      <c:pt idx="0">
                        <c:v>PA</c:v>
                      </c:pt>
                      <c:pt idx="1">
                        <c:v>PA LAO</c:v>
                      </c:pt>
                      <c:pt idx="2">
                        <c:v>PA LAO CRAN</c:v>
                      </c:pt>
                      <c:pt idx="3">
                        <c:v>LAT</c:v>
                      </c:pt>
                      <c:pt idx="4">
                        <c:v>SP1</c:v>
                      </c:pt>
                      <c:pt idx="5">
                        <c:v>SP2</c:v>
                      </c:pt>
                      <c:pt idx="6">
                        <c:v>SP3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(Philips!$P$12:$P$15,Philips!$P$17:$P$19)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060-4D0C-87E9-5D4C51D83696}"/>
                  </c:ext>
                </c:extLst>
              </c15:ser>
            </c15:filteredBarSeries>
            <c15:filteredBarSeries>
              <c15:ser>
                <c:idx val="5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Philips!$T$2</c15:sqref>
                        </c15:formulaRef>
                      </c:ext>
                    </c:extLst>
                    <c:strCache>
                      <c:ptCount val="1"/>
                      <c:pt idx="0">
                        <c:v>RDM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(Philips!$F$12:$F$15,Philips!$F$17:$F$19)</c15:sqref>
                        </c15:formulaRef>
                      </c:ext>
                    </c:extLst>
                    <c:strCache>
                      <c:ptCount val="7"/>
                      <c:pt idx="0">
                        <c:v>PA</c:v>
                      </c:pt>
                      <c:pt idx="1">
                        <c:v>PA LAO</c:v>
                      </c:pt>
                      <c:pt idx="2">
                        <c:v>PA LAO CRAN</c:v>
                      </c:pt>
                      <c:pt idx="3">
                        <c:v>LAT</c:v>
                      </c:pt>
                      <c:pt idx="4">
                        <c:v>SP1</c:v>
                      </c:pt>
                      <c:pt idx="5">
                        <c:v>SP2</c:v>
                      </c:pt>
                      <c:pt idx="6">
                        <c:v>SP3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(Philips!$T$12:$T$15,Philips!$T$17:$T$19)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60-4D0C-87E9-5D4C51D83696}"/>
                  </c:ext>
                </c:extLst>
              </c15:ser>
            </c15:filteredBarSeries>
          </c:ext>
        </c:extLst>
      </c:barChart>
      <c:scatterChart>
        <c:scatterStyle val="lineMarker"/>
        <c:varyColors val="0"/>
        <c:ser>
          <c:idx val="10"/>
          <c:order val="1"/>
          <c:tx>
            <c:strRef>
              <c:f>Philips!$Z$2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(Philips!$AA$12:$AA$15,Philips!$AA$17:$AA$19)</c:f>
                <c:numCache>
                  <c:formatCode>General</c:formatCode>
                  <c:ptCount val="7"/>
                  <c:pt idx="0">
                    <c:v>0.16046444781973659</c:v>
                  </c:pt>
                  <c:pt idx="1">
                    <c:v>0.25366629749198172</c:v>
                  </c:pt>
                  <c:pt idx="2">
                    <c:v>0.22325451121027701</c:v>
                  </c:pt>
                  <c:pt idx="3">
                    <c:v>0.17388560023351546</c:v>
                  </c:pt>
                  <c:pt idx="4">
                    <c:v>0.17134199205221892</c:v>
                  </c:pt>
                  <c:pt idx="5">
                    <c:v>0.14810878176997266</c:v>
                  </c:pt>
                  <c:pt idx="6">
                    <c:v>0.18028568379943208</c:v>
                  </c:pt>
                </c:numCache>
              </c:numRef>
            </c:plus>
            <c:minus>
              <c:numRef>
                <c:f>(Philips!$AA$12:$AA$15,Philips!$AA$17:$AA$19)</c:f>
                <c:numCache>
                  <c:formatCode>General</c:formatCode>
                  <c:ptCount val="7"/>
                  <c:pt idx="0">
                    <c:v>0.16046444781973659</c:v>
                  </c:pt>
                  <c:pt idx="1">
                    <c:v>0.25366629749198172</c:v>
                  </c:pt>
                  <c:pt idx="2">
                    <c:v>0.22325451121027701</c:v>
                  </c:pt>
                  <c:pt idx="3">
                    <c:v>0.17388560023351546</c:v>
                  </c:pt>
                  <c:pt idx="4">
                    <c:v>0.17134199205221892</c:v>
                  </c:pt>
                  <c:pt idx="5">
                    <c:v>0.14810878176997266</c:v>
                  </c:pt>
                  <c:pt idx="6">
                    <c:v>0.18028568379943208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(Philips!$F$12:$F$15,Philips!$F$17:$F$19)</c:f>
              <c:strCache>
                <c:ptCount val="7"/>
                <c:pt idx="0">
                  <c:v>PA</c:v>
                </c:pt>
                <c:pt idx="1">
                  <c:v>PA LAO</c:v>
                </c:pt>
                <c:pt idx="2">
                  <c:v>PA LAO CRAN</c:v>
                </c:pt>
                <c:pt idx="3">
                  <c:v>LAT</c:v>
                </c:pt>
                <c:pt idx="4">
                  <c:v>SP1</c:v>
                </c:pt>
                <c:pt idx="5">
                  <c:v>SP2</c:v>
                </c:pt>
                <c:pt idx="6">
                  <c:v>SP3</c:v>
                </c:pt>
              </c:strCache>
            </c:strRef>
          </c:xVal>
          <c:yVal>
            <c:numRef>
              <c:f>(Philips!$Z$12:$Z$15,Philips!$Z$17:$Z$19)</c:f>
              <c:numCache>
                <c:formatCode>0%</c:formatCode>
                <c:ptCount val="7"/>
                <c:pt idx="0">
                  <c:v>0.98700410771786573</c:v>
                </c:pt>
                <c:pt idx="1">
                  <c:v>1.0852906472604305</c:v>
                </c:pt>
                <c:pt idx="2">
                  <c:v>1.1072910446479667</c:v>
                </c:pt>
                <c:pt idx="3">
                  <c:v>1.2538094645318409</c:v>
                </c:pt>
                <c:pt idx="4">
                  <c:v>1.3352881805180741</c:v>
                </c:pt>
                <c:pt idx="5">
                  <c:v>1.1974454431245154</c:v>
                </c:pt>
                <c:pt idx="6">
                  <c:v>1.1933953758190887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60-4D0C-87E9-5D4C51D8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865264"/>
        <c:axId val="646869856"/>
      </c:scatterChart>
      <c:catAx>
        <c:axId val="585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0240"/>
        <c:crosses val="autoZero"/>
        <c:auto val="1"/>
        <c:lblAlgn val="ctr"/>
        <c:lblOffset val="100"/>
        <c:noMultiLvlLbl val="0"/>
      </c:catAx>
      <c:valAx>
        <c:axId val="585520240"/>
        <c:scaling>
          <c:orientation val="minMax"/>
          <c:max val="1.8"/>
          <c:min val="0.60000000000000009"/>
        </c:scaling>
        <c:delete val="0"/>
        <c:axPos val="l"/>
        <c:majorGrid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23520"/>
        <c:crosses val="autoZero"/>
        <c:crossBetween val="between"/>
      </c:valAx>
      <c:valAx>
        <c:axId val="64686985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646865264"/>
        <c:crosses val="max"/>
        <c:crossBetween val="midCat"/>
      </c:valAx>
      <c:valAx>
        <c:axId val="646865264"/>
        <c:scaling>
          <c:orientation val="minMax"/>
        </c:scaling>
        <c:delete val="1"/>
        <c:axPos val="b"/>
        <c:majorTickMark val="out"/>
        <c:minorTickMark val="none"/>
        <c:tickLblPos val="nextTo"/>
        <c:crossAx val="64686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1383116044920609E-2"/>
          <c:y val="2.301288175798109E-2"/>
          <c:w val="0.78934426229508192"/>
          <c:h val="0.1471436101868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5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5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5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5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5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50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50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zoomScale="5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0.06565</cdr:x>
      <cdr:y>0.54451</cdr:y>
    </cdr:from>
    <cdr:to>
      <cdr:x>1</cdr:x>
      <cdr:y>0.54631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B339B34-716D-94D2-70CF-B0B9447064D9}"/>
            </a:ext>
          </a:extLst>
        </cdr:cNvPr>
        <cdr:cNvCxnSpPr/>
      </cdr:nvCxnSpPr>
      <cdr:spPr>
        <a:xfrm xmlns:a="http://schemas.openxmlformats.org/drawingml/2006/main">
          <a:off x="609594" y="3301575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0.06565</cdr:x>
      <cdr:y>0.89347</cdr:y>
    </cdr:from>
    <cdr:to>
      <cdr:x>1</cdr:x>
      <cdr:y>0.89527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B3D43B0F-C280-0588-71F6-D2ECEA18881F}"/>
            </a:ext>
          </a:extLst>
        </cdr:cNvPr>
        <cdr:cNvCxnSpPr/>
      </cdr:nvCxnSpPr>
      <cdr:spPr>
        <a:xfrm xmlns:a="http://schemas.openxmlformats.org/drawingml/2006/main">
          <a:off x="609594" y="5417444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0.06448</cdr:x>
      <cdr:y>0.19212</cdr:y>
    </cdr:from>
    <cdr:to>
      <cdr:x>0.99883</cdr:x>
      <cdr:y>0.19392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41DBED64-C62C-E4AB-6C9B-D9178FA7EACC}"/>
            </a:ext>
          </a:extLst>
        </cdr:cNvPr>
        <cdr:cNvCxnSpPr/>
      </cdr:nvCxnSpPr>
      <cdr:spPr>
        <a:xfrm xmlns:a="http://schemas.openxmlformats.org/drawingml/2006/main">
          <a:off x="598709" y="1164877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0.06401</cdr:x>
      <cdr:y>0.44483</cdr:y>
    </cdr:from>
    <cdr:to>
      <cdr:x>0.99836</cdr:x>
      <cdr:y>0.44663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0EDDD073-E1A9-8CDE-D23C-4BE8DA42B57F}"/>
            </a:ext>
          </a:extLst>
        </cdr:cNvPr>
        <cdr:cNvCxnSpPr/>
      </cdr:nvCxnSpPr>
      <cdr:spPr>
        <a:xfrm xmlns:a="http://schemas.openxmlformats.org/drawingml/2006/main">
          <a:off x="594069" y="2691319"/>
          <a:ext cx="8671851" cy="1089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0.06526</cdr:x>
      <cdr:y>0.93117</cdr:y>
    </cdr:from>
    <cdr:to>
      <cdr:x>0.99961</cdr:x>
      <cdr:y>0.93297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6F07533-B055-5E75-AA60-EC79C1318F4F}"/>
            </a:ext>
          </a:extLst>
        </cdr:cNvPr>
        <cdr:cNvCxnSpPr/>
      </cdr:nvCxnSpPr>
      <cdr:spPr>
        <a:xfrm xmlns:a="http://schemas.openxmlformats.org/drawingml/2006/main">
          <a:off x="605945" y="5646011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0.06057</cdr:x>
      <cdr:y>0.68801</cdr:y>
    </cdr:from>
    <cdr:to>
      <cdr:x>0.99492</cdr:x>
      <cdr:y>0.68981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C88C13BD-28BF-DBCC-7D55-FA2109C981D6}"/>
            </a:ext>
          </a:extLst>
        </cdr:cNvPr>
        <cdr:cNvCxnSpPr/>
      </cdr:nvCxnSpPr>
      <cdr:spPr>
        <a:xfrm xmlns:a="http://schemas.openxmlformats.org/drawingml/2006/main">
          <a:off x="562160" y="4162639"/>
          <a:ext cx="8671852" cy="10891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0.06346</cdr:x>
      <cdr:y>0.67298</cdr:y>
    </cdr:from>
    <cdr:to>
      <cdr:x>0.99672</cdr:x>
      <cdr:y>0.67477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56C662A6-FF8A-A272-409A-FA93624BD887}"/>
            </a:ext>
          </a:extLst>
        </cdr:cNvPr>
        <cdr:cNvCxnSpPr/>
      </cdr:nvCxnSpPr>
      <cdr:spPr>
        <a:xfrm xmlns:a="http://schemas.openxmlformats.org/drawingml/2006/main">
          <a:off x="588945" y="4071724"/>
          <a:ext cx="8661735" cy="1083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0.06181</cdr:x>
      <cdr:y>0.4561</cdr:y>
    </cdr:from>
    <cdr:to>
      <cdr:x>0.99507</cdr:x>
      <cdr:y>0.45789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AB74224-4356-877D-B768-1D90831254EB}"/>
            </a:ext>
          </a:extLst>
        </cdr:cNvPr>
        <cdr:cNvCxnSpPr/>
      </cdr:nvCxnSpPr>
      <cdr:spPr>
        <a:xfrm xmlns:a="http://schemas.openxmlformats.org/drawingml/2006/main">
          <a:off x="573704" y="2759539"/>
          <a:ext cx="8661736" cy="1083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0.06428</cdr:x>
      <cdr:y>0.89582</cdr:y>
    </cdr:from>
    <cdr:to>
      <cdr:x>0.99754</cdr:x>
      <cdr:y>0.89762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201F65F-6619-B362-AC65-37C701C7393D}"/>
            </a:ext>
          </a:extLst>
        </cdr:cNvPr>
        <cdr:cNvCxnSpPr/>
      </cdr:nvCxnSpPr>
      <cdr:spPr>
        <a:xfrm xmlns:a="http://schemas.openxmlformats.org/drawingml/2006/main">
          <a:off x="596612" y="5419955"/>
          <a:ext cx="8661735" cy="10891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0.06182</cdr:x>
      <cdr:y>0.6264</cdr:y>
    </cdr:from>
    <cdr:to>
      <cdr:x>0.99507</cdr:x>
      <cdr:y>0.62819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5AAFBEDC-4061-C3D5-AB0E-39A0410CE507}"/>
            </a:ext>
          </a:extLst>
        </cdr:cNvPr>
        <cdr:cNvCxnSpPr/>
      </cdr:nvCxnSpPr>
      <cdr:spPr>
        <a:xfrm xmlns:a="http://schemas.openxmlformats.org/drawingml/2006/main">
          <a:off x="573797" y="3789900"/>
          <a:ext cx="8661643" cy="1083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0.06674</cdr:x>
      <cdr:y>0.01883</cdr:y>
    </cdr:from>
    <cdr:to>
      <cdr:x>1</cdr:x>
      <cdr:y>0.02063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3D04BA0-5A9C-ED46-2310-FDB6BBC3147E}"/>
            </a:ext>
          </a:extLst>
        </cdr:cNvPr>
        <cdr:cNvCxnSpPr/>
      </cdr:nvCxnSpPr>
      <cdr:spPr>
        <a:xfrm xmlns:a="http://schemas.openxmlformats.org/drawingml/2006/main">
          <a:off x="620480" y="114300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0.06674</cdr:x>
      <cdr:y>0.31916</cdr:y>
    </cdr:from>
    <cdr:to>
      <cdr:x>1</cdr:x>
      <cdr:y>0.32096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C112B44F-2BA9-8170-12A2-EB56CF204211}"/>
            </a:ext>
          </a:extLst>
        </cdr:cNvPr>
        <cdr:cNvCxnSpPr/>
      </cdr:nvCxnSpPr>
      <cdr:spPr>
        <a:xfrm xmlns:a="http://schemas.openxmlformats.org/drawingml/2006/main">
          <a:off x="619425" y="1930993"/>
          <a:ext cx="8661735" cy="1089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0.06448</cdr:x>
      <cdr:y>0.54339</cdr:y>
    </cdr:from>
    <cdr:to>
      <cdr:x>0.99883</cdr:x>
      <cdr:y>0.54519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C5D59B8D-4CCB-FA4E-DDD6-8487F081BAE1}"/>
            </a:ext>
          </a:extLst>
        </cdr:cNvPr>
        <cdr:cNvCxnSpPr/>
      </cdr:nvCxnSpPr>
      <cdr:spPr>
        <a:xfrm xmlns:a="http://schemas.openxmlformats.org/drawingml/2006/main">
          <a:off x="598708" y="3294735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0.06292</cdr:x>
      <cdr:y>0.1915</cdr:y>
    </cdr:from>
    <cdr:to>
      <cdr:x>0.99726</cdr:x>
      <cdr:y>0.1933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E38F118-6F03-2DD5-96E7-38C83D193C25}"/>
            </a:ext>
          </a:extLst>
        </cdr:cNvPr>
        <cdr:cNvCxnSpPr/>
      </cdr:nvCxnSpPr>
      <cdr:spPr>
        <a:xfrm xmlns:a="http://schemas.openxmlformats.org/drawingml/2006/main">
          <a:off x="584245" y="1161122"/>
          <a:ext cx="8675827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0.06565</cdr:x>
      <cdr:y>0.89347</cdr:y>
    </cdr:from>
    <cdr:to>
      <cdr:x>1</cdr:x>
      <cdr:y>0.89527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C787A9C-05FF-D45D-A3D9-19B20B8ECFB6}"/>
            </a:ext>
          </a:extLst>
        </cdr:cNvPr>
        <cdr:cNvCxnSpPr/>
      </cdr:nvCxnSpPr>
      <cdr:spPr>
        <a:xfrm xmlns:a="http://schemas.openxmlformats.org/drawingml/2006/main">
          <a:off x="609594" y="5417436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0.06565</cdr:x>
      <cdr:y>0.92938</cdr:y>
    </cdr:from>
    <cdr:to>
      <cdr:x>1</cdr:x>
      <cdr:y>0.93118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024A268-D9C9-DC18-4088-6E63DE2C521C}"/>
            </a:ext>
          </a:extLst>
        </cdr:cNvPr>
        <cdr:cNvCxnSpPr/>
      </cdr:nvCxnSpPr>
      <cdr:spPr>
        <a:xfrm xmlns:a="http://schemas.openxmlformats.org/drawingml/2006/main">
          <a:off x="609594" y="5635130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0.06175</cdr:x>
      <cdr:y>0.32077</cdr:y>
    </cdr:from>
    <cdr:to>
      <cdr:x>0.9961</cdr:x>
      <cdr:y>0.32257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F533030-19D0-5D3C-0C59-9B7A0A3899E7}"/>
            </a:ext>
          </a:extLst>
        </cdr:cNvPr>
        <cdr:cNvCxnSpPr/>
      </cdr:nvCxnSpPr>
      <cdr:spPr>
        <a:xfrm xmlns:a="http://schemas.openxmlformats.org/drawingml/2006/main">
          <a:off x="573359" y="1944950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0.06408</cdr:x>
      <cdr:y>0.62777</cdr:y>
    </cdr:from>
    <cdr:to>
      <cdr:x>0.99843</cdr:x>
      <cdr:y>0.62957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1087F5D-91A5-4C39-75F0-A362B7F2936B}"/>
            </a:ext>
          </a:extLst>
        </cdr:cNvPr>
        <cdr:cNvCxnSpPr/>
      </cdr:nvCxnSpPr>
      <cdr:spPr>
        <a:xfrm xmlns:a="http://schemas.openxmlformats.org/drawingml/2006/main">
          <a:off x="595038" y="3806381"/>
          <a:ext cx="8675920" cy="1091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1582400" cy="7524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0.06299</cdr:x>
      <cdr:y>0.50507</cdr:y>
    </cdr:from>
    <cdr:to>
      <cdr:x>0.99625</cdr:x>
      <cdr:y>0.50687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9BAD233-F783-1D4B-1C10-AEA2ADF59631}"/>
            </a:ext>
          </a:extLst>
        </cdr:cNvPr>
        <cdr:cNvCxnSpPr/>
      </cdr:nvCxnSpPr>
      <cdr:spPr>
        <a:xfrm xmlns:a="http://schemas.openxmlformats.org/drawingml/2006/main">
          <a:off x="585580" y="3066088"/>
          <a:ext cx="8675959" cy="10927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0.06675</cdr:x>
      <cdr:y>0.11604</cdr:y>
    </cdr:from>
    <cdr:to>
      <cdr:x>1</cdr:x>
      <cdr:y>0.11783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6D3A2362-A0F3-4ECE-74D4-DE53B502B551}"/>
            </a:ext>
          </a:extLst>
        </cdr:cNvPr>
        <cdr:cNvCxnSpPr/>
      </cdr:nvCxnSpPr>
      <cdr:spPr>
        <a:xfrm xmlns:a="http://schemas.openxmlformats.org/drawingml/2006/main">
          <a:off x="620535" y="704462"/>
          <a:ext cx="8675865" cy="10867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0.06537</cdr:x>
      <cdr:y>0.8954</cdr:y>
    </cdr:from>
    <cdr:to>
      <cdr:x>0.99863</cdr:x>
      <cdr:y>0.8972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68F035AC-5D39-42F7-B8CE-947E8B8707CB}"/>
            </a:ext>
          </a:extLst>
        </cdr:cNvPr>
        <cdr:cNvCxnSpPr/>
      </cdr:nvCxnSpPr>
      <cdr:spPr>
        <a:xfrm xmlns:a="http://schemas.openxmlformats.org/drawingml/2006/main">
          <a:off x="607742" y="5435586"/>
          <a:ext cx="8675958" cy="10927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1582400" cy="7524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0.06264</cdr:x>
      <cdr:y>0.93096</cdr:y>
    </cdr:from>
    <cdr:to>
      <cdr:x>0.9959</cdr:x>
      <cdr:y>0.93276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AB59FCEB-575B-5361-9880-5E2CBE744B6D}"/>
            </a:ext>
          </a:extLst>
        </cdr:cNvPr>
        <cdr:cNvCxnSpPr/>
      </cdr:nvCxnSpPr>
      <cdr:spPr>
        <a:xfrm xmlns:a="http://schemas.openxmlformats.org/drawingml/2006/main">
          <a:off x="582326" y="5651515"/>
          <a:ext cx="8675959" cy="10927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0.06674</cdr:x>
      <cdr:y>0.32218</cdr:y>
    </cdr:from>
    <cdr:to>
      <cdr:x>1</cdr:x>
      <cdr:y>0.32398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C689DF21-4CE5-27FA-6FD0-099CA37F8009}"/>
            </a:ext>
          </a:extLst>
        </cdr:cNvPr>
        <cdr:cNvCxnSpPr/>
      </cdr:nvCxnSpPr>
      <cdr:spPr>
        <a:xfrm xmlns:a="http://schemas.openxmlformats.org/drawingml/2006/main">
          <a:off x="620442" y="1955827"/>
          <a:ext cx="8675958" cy="10928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0.06674</cdr:x>
      <cdr:y>0.62761</cdr:y>
    </cdr:from>
    <cdr:to>
      <cdr:x>1</cdr:x>
      <cdr:y>0.62941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D76E696-772E-FE24-DC6C-A20968F3EC5B}"/>
            </a:ext>
          </a:extLst>
        </cdr:cNvPr>
        <cdr:cNvCxnSpPr/>
      </cdr:nvCxnSpPr>
      <cdr:spPr>
        <a:xfrm xmlns:a="http://schemas.openxmlformats.org/drawingml/2006/main">
          <a:off x="620442" y="3809997"/>
          <a:ext cx="8675958" cy="10927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8" sqref="A8"/>
    </sheetView>
  </sheetViews>
  <sheetFormatPr defaultRowHeight="15" x14ac:dyDescent="0.25"/>
  <cols>
    <col min="1" max="1" width="42" customWidth="1"/>
  </cols>
  <sheetData>
    <row r="1" spans="1:3" x14ac:dyDescent="0.25">
      <c r="A1" s="2" t="s">
        <v>30</v>
      </c>
    </row>
    <row r="2" spans="1:3" x14ac:dyDescent="0.25">
      <c r="A2" t="s">
        <v>34</v>
      </c>
    </row>
    <row r="3" spans="1:3" x14ac:dyDescent="0.25">
      <c r="A3" t="s">
        <v>120</v>
      </c>
    </row>
    <row r="4" spans="1:3" x14ac:dyDescent="0.25">
      <c r="A4" s="2" t="s">
        <v>32</v>
      </c>
    </row>
    <row r="5" spans="1:3" x14ac:dyDescent="0.25">
      <c r="A5" t="s">
        <v>33</v>
      </c>
    </row>
    <row r="6" spans="1:3" x14ac:dyDescent="0.25">
      <c r="A6" t="s">
        <v>29</v>
      </c>
    </row>
    <row r="7" spans="1:3" x14ac:dyDescent="0.25">
      <c r="A7" t="s">
        <v>142</v>
      </c>
    </row>
    <row r="8" spans="1:3" x14ac:dyDescent="0.25">
      <c r="A8" s="1" t="s">
        <v>144</v>
      </c>
      <c r="C8" s="3"/>
    </row>
    <row r="9" spans="1:3" x14ac:dyDescent="0.25">
      <c r="A9" t="s">
        <v>31</v>
      </c>
      <c r="C9" s="3"/>
    </row>
    <row r="10" spans="1:3" x14ac:dyDescent="0.25">
      <c r="A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B1" zoomScale="60" zoomScaleNormal="60" workbookViewId="0">
      <selection activeCell="T8" sqref="T8"/>
    </sheetView>
  </sheetViews>
  <sheetFormatPr defaultRowHeight="15" x14ac:dyDescent="0.25"/>
  <cols>
    <col min="1" max="1" width="13.42578125" customWidth="1"/>
    <col min="2" max="2" width="17.7109375" customWidth="1"/>
    <col min="3" max="4" width="12.5703125" customWidth="1"/>
    <col min="5" max="5" width="13.7109375" customWidth="1"/>
    <col min="6" max="6" width="14.7109375" customWidth="1"/>
    <col min="7" max="7" width="14.140625" customWidth="1"/>
    <col min="11" max="11" width="13.7109375" customWidth="1"/>
    <col min="12" max="12" width="11.42578125" customWidth="1"/>
    <col min="13" max="13" width="35.85546875" customWidth="1"/>
    <col min="14" max="14" width="19.140625" customWidth="1"/>
    <col min="15" max="15" width="21.5703125" customWidth="1"/>
    <col min="16" max="17" width="18.42578125" customWidth="1"/>
    <col min="18" max="18" width="12.7109375" bestFit="1" customWidth="1"/>
    <col min="19" max="19" width="14.7109375" customWidth="1"/>
    <col min="20" max="20" width="13.7109375" customWidth="1"/>
    <col min="21" max="21" width="20.42578125" customWidth="1"/>
    <col min="27" max="27" width="10.28515625" customWidth="1"/>
  </cols>
  <sheetData>
    <row r="1" spans="1:28" ht="30" x14ac:dyDescent="0.25">
      <c r="A1" s="8" t="s">
        <v>0</v>
      </c>
      <c r="B1" s="8" t="s">
        <v>20</v>
      </c>
      <c r="C1" s="8" t="s">
        <v>19</v>
      </c>
      <c r="D1" s="8" t="s">
        <v>44</v>
      </c>
      <c r="E1" s="8" t="s">
        <v>1</v>
      </c>
      <c r="F1" s="8" t="s">
        <v>2</v>
      </c>
      <c r="G1" s="6" t="s">
        <v>49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8" ht="32.25" customHeight="1" x14ac:dyDescent="0.25">
      <c r="A2" s="4">
        <v>1</v>
      </c>
      <c r="B2" s="4" t="s">
        <v>3</v>
      </c>
      <c r="C2" s="4" t="s">
        <v>4</v>
      </c>
      <c r="D2" s="4" t="s">
        <v>45</v>
      </c>
      <c r="E2" s="4" t="s">
        <v>5</v>
      </c>
      <c r="F2" s="4" t="s">
        <v>6</v>
      </c>
      <c r="G2" s="48" t="s">
        <v>50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28" ht="47.25" customHeight="1" x14ac:dyDescent="0.25">
      <c r="A3" s="5">
        <v>2</v>
      </c>
      <c r="B3" s="5" t="s">
        <v>3</v>
      </c>
      <c r="C3" s="5" t="s">
        <v>4</v>
      </c>
      <c r="D3" s="5" t="s">
        <v>45</v>
      </c>
      <c r="E3" s="5" t="s">
        <v>5</v>
      </c>
      <c r="F3" s="5" t="s">
        <v>7</v>
      </c>
      <c r="G3" s="5" t="s">
        <v>51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8" ht="47.25" customHeight="1" x14ac:dyDescent="0.25">
      <c r="A4" s="4">
        <v>3</v>
      </c>
      <c r="B4" s="4" t="s">
        <v>8</v>
      </c>
      <c r="C4" s="4" t="s">
        <v>41</v>
      </c>
      <c r="D4" s="4" t="s">
        <v>45</v>
      </c>
      <c r="E4" s="4" t="s">
        <v>5</v>
      </c>
      <c r="F4" s="4" t="s">
        <v>6</v>
      </c>
      <c r="G4" s="48" t="s">
        <v>52</v>
      </c>
    </row>
    <row r="5" spans="1:28" ht="47.25" customHeight="1" x14ac:dyDescent="0.25">
      <c r="A5" s="5">
        <v>4</v>
      </c>
      <c r="B5" s="5" t="s">
        <v>8</v>
      </c>
      <c r="C5" s="5" t="s">
        <v>41</v>
      </c>
      <c r="D5" s="5" t="s">
        <v>45</v>
      </c>
      <c r="E5" s="5" t="s">
        <v>5</v>
      </c>
      <c r="F5" s="5" t="s">
        <v>7</v>
      </c>
      <c r="G5" s="5" t="s">
        <v>53</v>
      </c>
      <c r="K5" t="s">
        <v>89</v>
      </c>
      <c r="W5" s="84" t="s">
        <v>110</v>
      </c>
      <c r="X5" s="84" t="s">
        <v>0</v>
      </c>
      <c r="Y5" s="120" t="s">
        <v>111</v>
      </c>
      <c r="Z5" s="120"/>
      <c r="AA5" s="120"/>
      <c r="AB5" s="120"/>
    </row>
    <row r="6" spans="1:28" ht="64.5" customHeight="1" thickBot="1" x14ac:dyDescent="0.3">
      <c r="A6" s="4">
        <v>5</v>
      </c>
      <c r="B6" s="4" t="s">
        <v>9</v>
      </c>
      <c r="C6" s="4" t="s">
        <v>46</v>
      </c>
      <c r="D6" s="4">
        <v>20</v>
      </c>
      <c r="E6" s="4" t="s">
        <v>5</v>
      </c>
      <c r="F6" s="4" t="s">
        <v>10</v>
      </c>
      <c r="G6" s="48" t="s">
        <v>54</v>
      </c>
      <c r="N6" s="121" t="s">
        <v>106</v>
      </c>
      <c r="O6" s="121"/>
      <c r="P6" s="121"/>
      <c r="Q6" s="121"/>
      <c r="R6" s="121" t="s">
        <v>107</v>
      </c>
      <c r="S6" s="121"/>
      <c r="T6" s="121"/>
      <c r="U6" s="121"/>
      <c r="W6" s="90"/>
      <c r="X6" s="90"/>
      <c r="Y6" s="90" t="s">
        <v>93</v>
      </c>
      <c r="Z6" s="90" t="s">
        <v>102</v>
      </c>
      <c r="AA6" s="90" t="s">
        <v>103</v>
      </c>
      <c r="AB6" s="90" t="s">
        <v>105</v>
      </c>
    </row>
    <row r="7" spans="1:28" ht="64.5" customHeight="1" x14ac:dyDescent="0.25">
      <c r="A7" s="5">
        <v>6</v>
      </c>
      <c r="B7" s="5" t="s">
        <v>11</v>
      </c>
      <c r="C7" s="5" t="s">
        <v>46</v>
      </c>
      <c r="D7" s="5">
        <v>25</v>
      </c>
      <c r="E7" s="5" t="s">
        <v>5</v>
      </c>
      <c r="F7" s="5" t="s">
        <v>12</v>
      </c>
      <c r="G7" s="5" t="s">
        <v>55</v>
      </c>
      <c r="K7" s="85" t="s">
        <v>90</v>
      </c>
      <c r="L7" s="85" t="s">
        <v>91</v>
      </c>
      <c r="M7" s="85" t="s">
        <v>92</v>
      </c>
      <c r="N7" s="85" t="s">
        <v>93</v>
      </c>
      <c r="O7" s="85" t="s">
        <v>102</v>
      </c>
      <c r="P7" s="85" t="s">
        <v>103</v>
      </c>
      <c r="Q7" s="85" t="s">
        <v>105</v>
      </c>
      <c r="R7" s="85" t="s">
        <v>93</v>
      </c>
      <c r="S7" s="85" t="s">
        <v>102</v>
      </c>
      <c r="T7" s="85" t="s">
        <v>103</v>
      </c>
      <c r="U7" s="85" t="s">
        <v>105</v>
      </c>
      <c r="W7" s="92" t="s">
        <v>108</v>
      </c>
      <c r="X7" s="91" t="s">
        <v>4</v>
      </c>
      <c r="Y7" s="93">
        <v>1.1100000000000001</v>
      </c>
      <c r="Z7" s="93">
        <v>1.1499999999999999</v>
      </c>
      <c r="AA7" s="93">
        <v>1</v>
      </c>
      <c r="AB7" s="93">
        <v>1.1299999999999999</v>
      </c>
    </row>
    <row r="8" spans="1:28" ht="63" customHeight="1" x14ac:dyDescent="0.25">
      <c r="A8" s="4">
        <v>7</v>
      </c>
      <c r="B8" s="4" t="s">
        <v>11</v>
      </c>
      <c r="C8" s="4" t="s">
        <v>46</v>
      </c>
      <c r="D8" s="4">
        <v>30</v>
      </c>
      <c r="E8" s="4" t="s">
        <v>5</v>
      </c>
      <c r="F8" s="4" t="s">
        <v>12</v>
      </c>
      <c r="G8" s="48" t="s">
        <v>56</v>
      </c>
      <c r="K8" s="83" t="s">
        <v>87</v>
      </c>
      <c r="L8" s="84">
        <v>19.11</v>
      </c>
      <c r="M8" s="84" t="s">
        <v>104</v>
      </c>
      <c r="N8" s="89"/>
      <c r="O8" s="89"/>
      <c r="P8" s="89"/>
      <c r="Q8" s="87"/>
      <c r="R8" s="97">
        <f>1/Y$9</f>
        <v>0.92165898617511521</v>
      </c>
      <c r="S8" s="97">
        <f t="shared" ref="S8:U8" si="0">1/Z$9</f>
        <v>0.90090090090090102</v>
      </c>
      <c r="T8" s="97">
        <f t="shared" si="0"/>
        <v>0.90497737556561086</v>
      </c>
      <c r="U8" s="97">
        <f t="shared" si="0"/>
        <v>0.97560975609756106</v>
      </c>
      <c r="W8" s="95" t="s">
        <v>109</v>
      </c>
      <c r="X8" s="94" t="s">
        <v>4</v>
      </c>
      <c r="Y8" s="96">
        <v>1.06</v>
      </c>
      <c r="Z8" s="96">
        <v>1.07</v>
      </c>
      <c r="AA8" s="96">
        <v>1.21</v>
      </c>
      <c r="AB8" s="96">
        <v>0.92</v>
      </c>
    </row>
    <row r="9" spans="1:28" ht="63" customHeight="1" x14ac:dyDescent="0.25">
      <c r="A9" s="5">
        <v>8</v>
      </c>
      <c r="B9" s="5" t="s">
        <v>13</v>
      </c>
      <c r="C9" s="5" t="s">
        <v>46</v>
      </c>
      <c r="D9" s="5">
        <v>15</v>
      </c>
      <c r="E9" s="5" t="s">
        <v>5</v>
      </c>
      <c r="F9" s="5" t="s">
        <v>12</v>
      </c>
      <c r="G9" s="5" t="s">
        <v>57</v>
      </c>
      <c r="K9" s="83" t="s">
        <v>114</v>
      </c>
      <c r="L9" s="86" t="s">
        <v>94</v>
      </c>
      <c r="M9" s="86" t="s">
        <v>101</v>
      </c>
      <c r="N9" s="87">
        <v>30</v>
      </c>
      <c r="O9" s="87">
        <v>10</v>
      </c>
      <c r="P9" s="87">
        <v>30</v>
      </c>
      <c r="Q9" s="87">
        <v>20</v>
      </c>
      <c r="R9" s="97">
        <f t="shared" ref="R9:R15" si="1">1/Y$9</f>
        <v>0.92165898617511521</v>
      </c>
      <c r="S9" s="97">
        <f t="shared" ref="S9:S15" si="2">1/Z$9</f>
        <v>0.90090090090090102</v>
      </c>
      <c r="T9" s="97">
        <f t="shared" ref="T9:T15" si="3">1/AA$9</f>
        <v>0.90497737556561086</v>
      </c>
      <c r="U9" s="97">
        <f t="shared" ref="U9:U15" si="4">1/AB$9</f>
        <v>0.97560975609756106</v>
      </c>
      <c r="W9" t="s">
        <v>35</v>
      </c>
      <c r="Y9" s="80">
        <f>AVERAGE(Y7:Y8)</f>
        <v>1.085</v>
      </c>
      <c r="Z9" s="80">
        <f t="shared" ref="Z9:AB9" si="5">AVERAGE(Z7:Z8)</f>
        <v>1.1099999999999999</v>
      </c>
      <c r="AA9" s="80">
        <f t="shared" si="5"/>
        <v>1.105</v>
      </c>
      <c r="AB9" s="80">
        <f t="shared" si="5"/>
        <v>1.0249999999999999</v>
      </c>
    </row>
    <row r="10" spans="1:28" ht="69" customHeight="1" x14ac:dyDescent="0.25">
      <c r="A10" s="4">
        <v>9</v>
      </c>
      <c r="B10" s="4" t="s">
        <v>14</v>
      </c>
      <c r="C10" s="4" t="s">
        <v>46</v>
      </c>
      <c r="D10" s="4">
        <v>10</v>
      </c>
      <c r="E10" s="4" t="s">
        <v>5</v>
      </c>
      <c r="F10" s="4" t="s">
        <v>12</v>
      </c>
      <c r="G10" s="48" t="s">
        <v>58</v>
      </c>
      <c r="K10" s="83" t="s">
        <v>95</v>
      </c>
      <c r="L10" s="84" t="s">
        <v>94</v>
      </c>
      <c r="M10" s="84" t="s">
        <v>100</v>
      </c>
      <c r="N10" s="3"/>
      <c r="R10" s="97">
        <f t="shared" si="1"/>
        <v>0.92165898617511521</v>
      </c>
      <c r="S10" s="97">
        <f t="shared" si="2"/>
        <v>0.90090090090090102</v>
      </c>
      <c r="T10" s="97">
        <f t="shared" si="3"/>
        <v>0.90497737556561086</v>
      </c>
      <c r="U10" s="97">
        <f t="shared" si="4"/>
        <v>0.97560975609756106</v>
      </c>
    </row>
    <row r="11" spans="1:28" ht="54" customHeight="1" x14ac:dyDescent="0.25">
      <c r="A11" s="5">
        <v>10</v>
      </c>
      <c r="B11" s="5" t="s">
        <v>48</v>
      </c>
      <c r="C11" s="5" t="s">
        <v>42</v>
      </c>
      <c r="D11" s="5" t="s">
        <v>45</v>
      </c>
      <c r="E11" s="5" t="s">
        <v>5</v>
      </c>
      <c r="F11" s="5" t="s">
        <v>12</v>
      </c>
      <c r="G11" s="5" t="s">
        <v>5</v>
      </c>
      <c r="K11" s="83" t="s">
        <v>113</v>
      </c>
      <c r="L11" s="86" t="s">
        <v>96</v>
      </c>
      <c r="M11" s="86" t="s">
        <v>99</v>
      </c>
      <c r="N11" s="87">
        <v>30</v>
      </c>
      <c r="O11" s="88"/>
      <c r="P11" s="87">
        <v>30</v>
      </c>
      <c r="Q11" s="87"/>
      <c r="R11" s="97">
        <f t="shared" si="1"/>
        <v>0.92165898617511521</v>
      </c>
      <c r="S11" s="97">
        <f t="shared" si="2"/>
        <v>0.90090090090090102</v>
      </c>
      <c r="T11" s="97">
        <f t="shared" si="3"/>
        <v>0.90497737556561086</v>
      </c>
      <c r="U11" s="97">
        <f t="shared" si="4"/>
        <v>0.97560975609756106</v>
      </c>
    </row>
    <row r="12" spans="1:28" ht="55.5" customHeight="1" x14ac:dyDescent="0.25">
      <c r="A12" s="4">
        <v>11</v>
      </c>
      <c r="B12" s="4" t="s">
        <v>15</v>
      </c>
      <c r="C12" s="4" t="s">
        <v>42</v>
      </c>
      <c r="D12" s="4" t="s">
        <v>45</v>
      </c>
      <c r="E12" s="4" t="s">
        <v>16</v>
      </c>
      <c r="F12" s="4" t="s">
        <v>12</v>
      </c>
      <c r="G12" s="48" t="s">
        <v>84</v>
      </c>
      <c r="K12" s="83" t="s">
        <v>80</v>
      </c>
      <c r="L12" s="98" t="s">
        <v>93</v>
      </c>
      <c r="M12" s="98" t="s">
        <v>97</v>
      </c>
      <c r="N12" s="99"/>
      <c r="O12" s="47"/>
      <c r="P12" s="47"/>
      <c r="Q12" s="47"/>
      <c r="R12" s="100">
        <f t="shared" si="1"/>
        <v>0.92165898617511521</v>
      </c>
      <c r="S12" s="100">
        <f t="shared" si="2"/>
        <v>0.90090090090090102</v>
      </c>
      <c r="T12" s="100">
        <f t="shared" si="3"/>
        <v>0.90497737556561086</v>
      </c>
      <c r="U12" s="100">
        <f t="shared" si="4"/>
        <v>0.97560975609756106</v>
      </c>
    </row>
    <row r="13" spans="1:28" ht="51.75" customHeight="1" x14ac:dyDescent="0.25">
      <c r="A13" s="5">
        <v>12</v>
      </c>
      <c r="B13" s="5" t="s">
        <v>15</v>
      </c>
      <c r="C13" s="5" t="s">
        <v>42</v>
      </c>
      <c r="D13" s="5" t="s">
        <v>45</v>
      </c>
      <c r="E13" s="5" t="s">
        <v>17</v>
      </c>
      <c r="F13" s="5" t="s">
        <v>12</v>
      </c>
      <c r="G13" s="5" t="s">
        <v>85</v>
      </c>
      <c r="K13" s="83" t="s">
        <v>79</v>
      </c>
      <c r="L13" s="98" t="s">
        <v>93</v>
      </c>
      <c r="M13" s="98" t="s">
        <v>97</v>
      </c>
      <c r="N13" s="99"/>
      <c r="O13" s="47"/>
      <c r="P13" s="47"/>
      <c r="Q13" s="47"/>
      <c r="R13" s="100">
        <f t="shared" ref="R13" si="6">1/Y$9</f>
        <v>0.92165898617511521</v>
      </c>
      <c r="S13" s="100">
        <f t="shared" ref="S13" si="7">1/Z$9</f>
        <v>0.90090090090090102</v>
      </c>
      <c r="T13" s="100">
        <f t="shared" ref="T13" si="8">1/AA$9</f>
        <v>0.90497737556561086</v>
      </c>
      <c r="U13" s="100">
        <f t="shared" ref="U13" si="9">1/AB$9</f>
        <v>0.97560975609756106</v>
      </c>
    </row>
    <row r="14" spans="1:28" ht="57.75" customHeight="1" thickBot="1" x14ac:dyDescent="0.3">
      <c r="A14" s="7">
        <v>13</v>
      </c>
      <c r="B14" s="7" t="s">
        <v>18</v>
      </c>
      <c r="C14" s="7" t="s">
        <v>42</v>
      </c>
      <c r="D14" s="7" t="s">
        <v>45</v>
      </c>
      <c r="E14" s="7" t="s">
        <v>40</v>
      </c>
      <c r="F14" s="7" t="s">
        <v>12</v>
      </c>
      <c r="G14" s="7" t="s">
        <v>86</v>
      </c>
      <c r="K14" s="83" t="s">
        <v>75</v>
      </c>
      <c r="L14" s="86"/>
      <c r="M14" s="86" t="s">
        <v>98</v>
      </c>
      <c r="N14" s="87">
        <v>30</v>
      </c>
      <c r="O14" s="87">
        <v>10</v>
      </c>
      <c r="P14" s="87">
        <v>30</v>
      </c>
      <c r="Q14" s="87">
        <v>20</v>
      </c>
      <c r="R14" s="97">
        <f t="shared" si="1"/>
        <v>0.92165898617511521</v>
      </c>
      <c r="S14" s="97">
        <f t="shared" si="2"/>
        <v>0.90090090090090102</v>
      </c>
      <c r="T14" s="97">
        <f t="shared" si="3"/>
        <v>0.90497737556561086</v>
      </c>
      <c r="U14" s="97">
        <f t="shared" si="4"/>
        <v>0.97560975609756106</v>
      </c>
    </row>
    <row r="15" spans="1:28" ht="45.75" thickTop="1" x14ac:dyDescent="0.25">
      <c r="A15" s="5">
        <v>100</v>
      </c>
      <c r="B15" s="5" t="s">
        <v>64</v>
      </c>
      <c r="C15" s="5" t="s">
        <v>42</v>
      </c>
      <c r="D15" s="5" t="s">
        <v>45</v>
      </c>
      <c r="E15" s="5" t="s">
        <v>65</v>
      </c>
      <c r="F15" s="5" t="s">
        <v>12</v>
      </c>
      <c r="G15" s="5" t="s">
        <v>116</v>
      </c>
      <c r="K15" s="83" t="s">
        <v>112</v>
      </c>
      <c r="M15" s="86" t="s">
        <v>98</v>
      </c>
      <c r="N15" s="87">
        <v>30</v>
      </c>
      <c r="O15" s="87">
        <v>10</v>
      </c>
      <c r="P15" s="87">
        <v>30</v>
      </c>
      <c r="Q15" s="87">
        <v>20</v>
      </c>
      <c r="R15" s="97">
        <f t="shared" si="1"/>
        <v>0.92165898617511521</v>
      </c>
      <c r="S15" s="97">
        <f t="shared" si="2"/>
        <v>0.90090090090090102</v>
      </c>
      <c r="T15" s="97">
        <f t="shared" si="3"/>
        <v>0.90497737556561086</v>
      </c>
      <c r="U15" s="97">
        <f t="shared" si="4"/>
        <v>0.97560975609756106</v>
      </c>
    </row>
    <row r="16" spans="1:28" ht="30" x14ac:dyDescent="0.25">
      <c r="A16" s="55">
        <v>101</v>
      </c>
      <c r="B16" s="48" t="s">
        <v>64</v>
      </c>
      <c r="C16" s="4" t="s">
        <v>42</v>
      </c>
      <c r="D16" s="4" t="s">
        <v>45</v>
      </c>
      <c r="E16" s="55" t="s">
        <v>65</v>
      </c>
      <c r="F16" s="4" t="s">
        <v>12</v>
      </c>
      <c r="G16" s="55" t="s">
        <v>117</v>
      </c>
      <c r="N16" s="3"/>
    </row>
    <row r="17" spans="1:14" ht="28.9" customHeight="1" x14ac:dyDescent="0.25">
      <c r="A17" s="5">
        <v>102</v>
      </c>
      <c r="B17" s="5" t="s">
        <v>64</v>
      </c>
      <c r="C17" s="5" t="s">
        <v>42</v>
      </c>
      <c r="D17" s="5" t="s">
        <v>45</v>
      </c>
      <c r="E17" s="5" t="s">
        <v>65</v>
      </c>
      <c r="F17" s="5" t="s">
        <v>12</v>
      </c>
      <c r="G17" s="5" t="s">
        <v>118</v>
      </c>
      <c r="N17" s="3"/>
    </row>
    <row r="18" spans="1:14" ht="30" x14ac:dyDescent="0.25">
      <c r="A18" s="55">
        <v>103</v>
      </c>
      <c r="B18" s="48" t="s">
        <v>64</v>
      </c>
      <c r="C18" s="4" t="s">
        <v>42</v>
      </c>
      <c r="D18" s="4" t="s">
        <v>45</v>
      </c>
      <c r="E18" s="55" t="s">
        <v>65</v>
      </c>
      <c r="F18" s="48" t="s">
        <v>12</v>
      </c>
      <c r="G18" s="55" t="s">
        <v>119</v>
      </c>
      <c r="N18" s="3"/>
    </row>
    <row r="19" spans="1:14" x14ac:dyDescent="0.25">
      <c r="C19" s="50"/>
      <c r="D19" s="50"/>
      <c r="N19" s="3"/>
    </row>
    <row r="20" spans="1:14" x14ac:dyDescent="0.25">
      <c r="N20" s="3"/>
    </row>
    <row r="21" spans="1:14" ht="28.9" customHeight="1" x14ac:dyDescent="0.25">
      <c r="N21" s="3"/>
    </row>
    <row r="23" spans="1:14" x14ac:dyDescent="0.25">
      <c r="N23" s="84"/>
    </row>
    <row r="24" spans="1:14" ht="28.9" customHeight="1" x14ac:dyDescent="0.25"/>
    <row r="25" spans="1:14" x14ac:dyDescent="0.25">
      <c r="N25" s="84"/>
    </row>
    <row r="26" spans="1:14" x14ac:dyDescent="0.25">
      <c r="N26" s="84"/>
    </row>
    <row r="29" spans="1:14" ht="28.9" customHeight="1" x14ac:dyDescent="0.25"/>
    <row r="35" ht="28.9" customHeight="1" x14ac:dyDescent="0.25"/>
  </sheetData>
  <mergeCells count="3">
    <mergeCell ref="Y5:AB5"/>
    <mergeCell ref="N6:Q6"/>
    <mergeCell ref="R6:U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0"/>
  <sheetViews>
    <sheetView topLeftCell="F1" zoomScale="115" zoomScaleNormal="115" workbookViewId="0">
      <selection activeCell="Y17" sqref="Y17:Y19"/>
    </sheetView>
  </sheetViews>
  <sheetFormatPr defaultRowHeight="15" x14ac:dyDescent="0.25"/>
  <cols>
    <col min="1" max="1" width="11.5703125" customWidth="1"/>
    <col min="3" max="3" width="23.85546875" bestFit="1" customWidth="1"/>
    <col min="4" max="4" width="11.7109375" bestFit="1" customWidth="1"/>
    <col min="5" max="5" width="22" bestFit="1" customWidth="1"/>
    <col min="6" max="6" width="26.28515625" customWidth="1"/>
    <col min="14" max="14" width="15.140625" customWidth="1"/>
    <col min="15" max="15" width="17.28515625" bestFit="1" customWidth="1"/>
    <col min="25" max="25" width="8.85546875" bestFit="1" customWidth="1"/>
    <col min="31" max="31" width="21.7109375" bestFit="1" customWidth="1"/>
  </cols>
  <sheetData>
    <row r="1" spans="1:32" ht="30.75" customHeight="1" x14ac:dyDescent="0.25">
      <c r="B1" s="125" t="s">
        <v>39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6"/>
      <c r="N1" s="102" t="s">
        <v>136</v>
      </c>
      <c r="O1" s="103" t="s">
        <v>145</v>
      </c>
      <c r="P1" s="122" t="s">
        <v>143</v>
      </c>
      <c r="Q1" s="123"/>
      <c r="R1" s="123"/>
      <c r="S1" s="123"/>
      <c r="T1" s="123"/>
      <c r="U1" s="123"/>
      <c r="V1" s="123"/>
      <c r="W1" s="123"/>
      <c r="X1" s="78"/>
      <c r="Y1" s="117"/>
      <c r="Z1" s="122" t="s">
        <v>63</v>
      </c>
      <c r="AA1" s="123"/>
      <c r="AB1" s="123"/>
      <c r="AC1" s="123"/>
      <c r="AD1" s="124"/>
    </row>
    <row r="2" spans="1:32" ht="45" x14ac:dyDescent="0.25">
      <c r="A2" s="19" t="s">
        <v>47</v>
      </c>
      <c r="B2" s="20" t="s">
        <v>0</v>
      </c>
      <c r="C2" s="20" t="s">
        <v>21</v>
      </c>
      <c r="D2" s="20" t="s">
        <v>22</v>
      </c>
      <c r="E2" s="20" t="s">
        <v>43</v>
      </c>
      <c r="F2" s="20" t="s">
        <v>59</v>
      </c>
      <c r="G2" s="20" t="s">
        <v>23</v>
      </c>
      <c r="H2" s="20" t="s">
        <v>24</v>
      </c>
      <c r="I2" s="20" t="s">
        <v>78</v>
      </c>
      <c r="J2" s="20" t="s">
        <v>77</v>
      </c>
      <c r="K2" s="20" t="s">
        <v>26</v>
      </c>
      <c r="L2" s="20" t="s">
        <v>27</v>
      </c>
      <c r="M2" s="27" t="s">
        <v>28</v>
      </c>
      <c r="N2" s="20" t="s">
        <v>60</v>
      </c>
      <c r="O2" s="19"/>
      <c r="P2" s="21" t="s">
        <v>81</v>
      </c>
      <c r="Q2" s="83" t="s">
        <v>112</v>
      </c>
      <c r="R2" s="83" t="s">
        <v>79</v>
      </c>
      <c r="S2" s="83" t="s">
        <v>87</v>
      </c>
      <c r="T2" s="83" t="s">
        <v>113</v>
      </c>
      <c r="U2" s="83" t="s">
        <v>114</v>
      </c>
      <c r="V2" s="83" t="s">
        <v>95</v>
      </c>
      <c r="W2" s="83" t="s">
        <v>75</v>
      </c>
      <c r="X2" s="83" t="s">
        <v>80</v>
      </c>
      <c r="Y2" s="83" t="s">
        <v>147</v>
      </c>
      <c r="Z2" s="22" t="s">
        <v>35</v>
      </c>
      <c r="AA2" s="23" t="s">
        <v>69</v>
      </c>
      <c r="AB2" s="23" t="s">
        <v>36</v>
      </c>
      <c r="AC2" s="23" t="s">
        <v>37</v>
      </c>
      <c r="AD2" s="24" t="s">
        <v>38</v>
      </c>
      <c r="AE2" s="81" t="s">
        <v>76</v>
      </c>
      <c r="AF2" s="74" t="s">
        <v>73</v>
      </c>
    </row>
    <row r="3" spans="1:32" x14ac:dyDescent="0.25">
      <c r="A3" s="16">
        <v>2</v>
      </c>
      <c r="B3" s="10">
        <v>1</v>
      </c>
      <c r="C3" s="10" t="s">
        <v>5</v>
      </c>
      <c r="D3" s="10" t="s">
        <v>4</v>
      </c>
      <c r="E3" s="10" t="s">
        <v>45</v>
      </c>
      <c r="F3" s="10" t="s">
        <v>50</v>
      </c>
      <c r="G3" s="10" t="s">
        <v>45</v>
      </c>
      <c r="H3" s="10" t="s">
        <v>45</v>
      </c>
      <c r="I3" s="10">
        <v>78</v>
      </c>
      <c r="J3" s="10">
        <v>78</v>
      </c>
      <c r="K3" s="10">
        <v>0</v>
      </c>
      <c r="L3" s="66">
        <v>3.4</v>
      </c>
      <c r="M3" s="12">
        <v>311</v>
      </c>
      <c r="N3" s="70">
        <v>280</v>
      </c>
      <c r="O3" s="110"/>
      <c r="P3" s="30"/>
      <c r="Q3" s="25"/>
      <c r="R3" s="25"/>
      <c r="S3" s="25"/>
      <c r="T3" s="25"/>
      <c r="U3" s="25"/>
      <c r="V3" s="25"/>
      <c r="W3" s="25"/>
      <c r="X3" s="25"/>
      <c r="Y3" s="25"/>
      <c r="Z3" s="32"/>
      <c r="AA3" s="25"/>
      <c r="AB3" s="25"/>
      <c r="AC3" s="25"/>
      <c r="AD3" s="26"/>
      <c r="AE3" s="80">
        <v>0.64449547920433992</v>
      </c>
      <c r="AF3" s="75">
        <v>1.06</v>
      </c>
    </row>
    <row r="4" spans="1:32" x14ac:dyDescent="0.25">
      <c r="A4" s="17" t="s">
        <v>72</v>
      </c>
      <c r="B4" s="11">
        <v>2</v>
      </c>
      <c r="C4" s="11" t="s">
        <v>5</v>
      </c>
      <c r="D4" s="11" t="s">
        <v>4</v>
      </c>
      <c r="E4" s="11" t="s">
        <v>45</v>
      </c>
      <c r="F4" s="11" t="s">
        <v>51</v>
      </c>
      <c r="G4" s="11" t="s">
        <v>45</v>
      </c>
      <c r="H4" s="11" t="s">
        <v>45</v>
      </c>
      <c r="I4" s="11">
        <v>120</v>
      </c>
      <c r="J4" s="11">
        <v>122.5</v>
      </c>
      <c r="K4" s="11">
        <v>0</v>
      </c>
      <c r="L4" s="67">
        <v>5.26</v>
      </c>
      <c r="M4" s="13">
        <v>582</v>
      </c>
      <c r="N4" s="67">
        <v>551.29999999999995</v>
      </c>
      <c r="O4" s="111"/>
      <c r="P4" s="33"/>
      <c r="Q4" s="9"/>
      <c r="R4" s="9"/>
      <c r="S4" s="9"/>
      <c r="T4" s="9"/>
      <c r="U4" s="9"/>
      <c r="V4" s="9"/>
      <c r="W4" s="9"/>
      <c r="X4" s="9"/>
      <c r="Y4" s="9"/>
      <c r="Z4" s="17"/>
      <c r="AA4" s="11"/>
      <c r="AB4" s="11"/>
      <c r="AC4" s="11"/>
      <c r="AD4" s="13"/>
      <c r="AE4" s="80">
        <v>0.70050229618692261</v>
      </c>
    </row>
    <row r="5" spans="1:32" x14ac:dyDescent="0.25">
      <c r="A5" s="16">
        <v>4</v>
      </c>
      <c r="B5" s="10">
        <v>3</v>
      </c>
      <c r="C5" s="10" t="s">
        <v>5</v>
      </c>
      <c r="D5" s="10" t="s">
        <v>41</v>
      </c>
      <c r="E5" s="10" t="s">
        <v>45</v>
      </c>
      <c r="F5" s="10" t="s">
        <v>52</v>
      </c>
      <c r="G5" s="10" t="s">
        <v>45</v>
      </c>
      <c r="H5" s="10" t="s">
        <v>45</v>
      </c>
      <c r="I5" s="10">
        <v>80</v>
      </c>
      <c r="J5" s="10">
        <v>81.3</v>
      </c>
      <c r="K5" s="10">
        <v>0</v>
      </c>
      <c r="L5" s="66">
        <v>4.01</v>
      </c>
      <c r="M5" s="12">
        <v>395</v>
      </c>
      <c r="N5" s="66">
        <v>229.2</v>
      </c>
      <c r="O5" s="112"/>
      <c r="P5" s="31"/>
      <c r="Q5" s="10"/>
      <c r="R5" s="10"/>
      <c r="S5" s="10"/>
      <c r="T5" s="10"/>
      <c r="U5" s="10"/>
      <c r="V5" s="10"/>
      <c r="W5" s="10"/>
      <c r="X5" s="10"/>
      <c r="Y5" s="10"/>
      <c r="Z5" s="16"/>
      <c r="AA5" s="10"/>
      <c r="AB5" s="10"/>
      <c r="AC5" s="10"/>
      <c r="AD5" s="12"/>
    </row>
    <row r="6" spans="1:32" x14ac:dyDescent="0.25">
      <c r="A6" s="17">
        <v>5</v>
      </c>
      <c r="B6" s="11">
        <v>4</v>
      </c>
      <c r="C6" s="11" t="s">
        <v>5</v>
      </c>
      <c r="D6" s="11" t="s">
        <v>41</v>
      </c>
      <c r="E6" s="11" t="s">
        <v>45</v>
      </c>
      <c r="F6" s="11" t="s">
        <v>53</v>
      </c>
      <c r="G6" s="11" t="s">
        <v>45</v>
      </c>
      <c r="H6" s="11" t="s">
        <v>45</v>
      </c>
      <c r="I6" s="11">
        <v>120</v>
      </c>
      <c r="J6" s="11">
        <v>124.4</v>
      </c>
      <c r="K6" s="11">
        <v>0</v>
      </c>
      <c r="L6" s="67">
        <v>5.71</v>
      </c>
      <c r="M6" s="13">
        <v>749</v>
      </c>
      <c r="N6" s="67">
        <v>497</v>
      </c>
      <c r="O6" s="111"/>
      <c r="P6" s="33"/>
      <c r="Q6" s="9"/>
      <c r="R6" s="9"/>
      <c r="S6" s="9"/>
      <c r="T6" s="9"/>
      <c r="U6" s="9"/>
      <c r="V6" s="9"/>
      <c r="W6" s="9"/>
      <c r="X6" s="9"/>
      <c r="Y6" s="9"/>
      <c r="Z6" s="17"/>
      <c r="AA6" s="11"/>
      <c r="AB6" s="11"/>
      <c r="AC6" s="11"/>
      <c r="AD6" s="13"/>
    </row>
    <row r="7" spans="1:32" x14ac:dyDescent="0.25">
      <c r="A7" s="16">
        <v>17</v>
      </c>
      <c r="B7" s="10">
        <v>9</v>
      </c>
      <c r="C7" s="10" t="s">
        <v>5</v>
      </c>
      <c r="D7" s="10" t="s">
        <v>46</v>
      </c>
      <c r="E7" s="10">
        <v>10</v>
      </c>
      <c r="F7" s="10" t="s">
        <v>137</v>
      </c>
      <c r="G7" s="10">
        <v>140</v>
      </c>
      <c r="H7" s="10">
        <v>45</v>
      </c>
      <c r="I7" s="10">
        <v>67</v>
      </c>
      <c r="J7" s="10">
        <v>67.7</v>
      </c>
      <c r="K7" s="10">
        <v>0.3</v>
      </c>
      <c r="L7" s="66">
        <v>5.32</v>
      </c>
      <c r="M7" s="12">
        <v>122</v>
      </c>
      <c r="N7" s="37">
        <v>90.48584000000001</v>
      </c>
      <c r="O7" s="113">
        <v>115.23262256046173</v>
      </c>
      <c r="P7" s="51">
        <v>1.3884956919734179</v>
      </c>
      <c r="Q7" s="28">
        <v>1.0793902817547538</v>
      </c>
      <c r="R7" s="28">
        <v>0.91875864134208818</v>
      </c>
      <c r="S7" s="28">
        <v>0.79982470735795963</v>
      </c>
      <c r="T7" s="28">
        <v>0.95970966635881583</v>
      </c>
      <c r="U7" s="28">
        <v>0.95878986794535404</v>
      </c>
      <c r="V7" s="28">
        <v>1.2061306677896291</v>
      </c>
      <c r="W7" s="28">
        <v>0.90280213843029677</v>
      </c>
      <c r="X7" s="28">
        <v>0.90924072732452854</v>
      </c>
      <c r="Y7" s="28">
        <f>111/O7</f>
        <v>0.9632688863065586</v>
      </c>
      <c r="Z7" s="40">
        <v>1.0136824878085382</v>
      </c>
      <c r="AA7" s="28">
        <v>0.18224751008203779</v>
      </c>
      <c r="AB7" s="28">
        <v>0.95878986794535404</v>
      </c>
      <c r="AC7" s="28">
        <v>0.79982470735795963</v>
      </c>
      <c r="AD7" s="29">
        <v>1.3884956919734179</v>
      </c>
    </row>
    <row r="8" spans="1:32" x14ac:dyDescent="0.25">
      <c r="A8" s="17">
        <v>16</v>
      </c>
      <c r="B8" s="11">
        <v>8</v>
      </c>
      <c r="C8" s="11" t="s">
        <v>5</v>
      </c>
      <c r="D8" s="11" t="s">
        <v>46</v>
      </c>
      <c r="E8" s="11">
        <v>15</v>
      </c>
      <c r="F8" s="11" t="s">
        <v>138</v>
      </c>
      <c r="G8" s="11">
        <v>160</v>
      </c>
      <c r="H8" s="11">
        <v>55</v>
      </c>
      <c r="I8" s="11">
        <v>67</v>
      </c>
      <c r="J8" s="11">
        <v>67</v>
      </c>
      <c r="K8" s="11">
        <v>0.2</v>
      </c>
      <c r="L8" s="67">
        <v>4.74</v>
      </c>
      <c r="M8" s="13">
        <v>244</v>
      </c>
      <c r="N8" s="36">
        <v>170.23599999999999</v>
      </c>
      <c r="O8" s="35">
        <v>206.80378085697402</v>
      </c>
      <c r="P8" s="52">
        <v>1.547360491543976</v>
      </c>
      <c r="Q8" s="53">
        <v>1.1994172033250621</v>
      </c>
      <c r="R8" s="53">
        <v>1.0209370432111002</v>
      </c>
      <c r="S8" s="53">
        <v>0.84676985424353524</v>
      </c>
      <c r="T8" s="53">
        <v>1.0663952143336479</v>
      </c>
      <c r="U8" s="53">
        <v>1.0684898555520397</v>
      </c>
      <c r="V8" s="53">
        <v>1.3402395512454486</v>
      </c>
      <c r="W8" s="53">
        <v>1.0021966893316576</v>
      </c>
      <c r="X8" s="53">
        <v>1.0104192702847068</v>
      </c>
      <c r="Y8" s="53">
        <f>207/O8</f>
        <v>1.0009488179675095</v>
      </c>
      <c r="Z8" s="44">
        <v>1.1224694636745749</v>
      </c>
      <c r="AA8" s="45">
        <v>0.21014137024468907</v>
      </c>
      <c r="AB8" s="45">
        <v>1.0663952143336479</v>
      </c>
      <c r="AC8" s="45">
        <v>0.84676985424353524</v>
      </c>
      <c r="AD8" s="46">
        <v>1.547360491543976</v>
      </c>
    </row>
    <row r="9" spans="1:32" x14ac:dyDescent="0.25">
      <c r="A9" s="16">
        <v>15</v>
      </c>
      <c r="B9" s="10">
        <v>5</v>
      </c>
      <c r="C9" s="10" t="s">
        <v>5</v>
      </c>
      <c r="D9" s="10" t="s">
        <v>46</v>
      </c>
      <c r="E9" s="10">
        <v>20</v>
      </c>
      <c r="F9" s="10" t="s">
        <v>139</v>
      </c>
      <c r="G9" s="10">
        <v>170</v>
      </c>
      <c r="H9" s="10">
        <v>70</v>
      </c>
      <c r="I9" s="10">
        <v>67</v>
      </c>
      <c r="J9" s="10">
        <v>67</v>
      </c>
      <c r="K9" s="10">
        <v>0.2</v>
      </c>
      <c r="L9" s="66">
        <v>4.75</v>
      </c>
      <c r="M9" s="12">
        <v>246</v>
      </c>
      <c r="N9" s="37">
        <v>171.65640000000002</v>
      </c>
      <c r="O9" s="113">
        <v>206.80378085697402</v>
      </c>
      <c r="P9" s="51">
        <v>1.547360491543976</v>
      </c>
      <c r="Q9" s="28">
        <v>1.2072494514543644</v>
      </c>
      <c r="R9" s="28">
        <v>1.027577501541747</v>
      </c>
      <c r="S9" s="28">
        <v>0.89133668867740545</v>
      </c>
      <c r="T9" s="28">
        <v>1.0733476405053317</v>
      </c>
      <c r="U9" s="28">
        <v>1.0762890515779671</v>
      </c>
      <c r="V9" s="28">
        <v>1.3489914970579029</v>
      </c>
      <c r="W9" s="28">
        <v>1.009995885357585</v>
      </c>
      <c r="X9" s="28">
        <v>1.0170151617809196</v>
      </c>
      <c r="Y9" s="28">
        <f>208/O9</f>
        <v>1.0057843195035845</v>
      </c>
      <c r="Z9" s="40">
        <v>1.1332403743885775</v>
      </c>
      <c r="AA9" s="28">
        <v>0.20271022870621122</v>
      </c>
      <c r="AB9" s="28">
        <v>1.0733476405053317</v>
      </c>
      <c r="AC9" s="28">
        <v>0.89133668867740545</v>
      </c>
      <c r="AD9" s="29">
        <v>1.547360491543976</v>
      </c>
    </row>
    <row r="10" spans="1:32" x14ac:dyDescent="0.25">
      <c r="A10" s="17">
        <v>14</v>
      </c>
      <c r="B10" s="11">
        <v>6</v>
      </c>
      <c r="C10" s="11" t="s">
        <v>5</v>
      </c>
      <c r="D10" s="11" t="s">
        <v>46</v>
      </c>
      <c r="E10" s="11">
        <v>25</v>
      </c>
      <c r="F10" s="11" t="s">
        <v>140</v>
      </c>
      <c r="G10" s="11">
        <v>170</v>
      </c>
      <c r="H10" s="11">
        <v>80</v>
      </c>
      <c r="I10" s="11">
        <v>71</v>
      </c>
      <c r="J10" s="11">
        <v>71</v>
      </c>
      <c r="K10" s="11">
        <v>0</v>
      </c>
      <c r="L10" s="67">
        <v>3.35</v>
      </c>
      <c r="M10" s="13">
        <v>461</v>
      </c>
      <c r="N10" s="36">
        <v>293.19600000000003</v>
      </c>
      <c r="O10" s="35">
        <v>366.66614291262186</v>
      </c>
      <c r="P10" s="52">
        <v>1.0909106491878138</v>
      </c>
      <c r="Q10" s="53">
        <v>1.2887315834364228</v>
      </c>
      <c r="R10" s="53">
        <v>1.1115474612381175</v>
      </c>
      <c r="S10" s="53">
        <v>0.9551752227911734</v>
      </c>
      <c r="T10" s="53">
        <v>1.1353262970476035</v>
      </c>
      <c r="U10" s="53">
        <v>1.1414972317106356</v>
      </c>
      <c r="V10" s="53">
        <v>1.4624827568236274</v>
      </c>
      <c r="W10" s="53">
        <v>1.0865118159249596</v>
      </c>
      <c r="X10" s="53">
        <v>1.1002361757050643</v>
      </c>
      <c r="Y10" s="53">
        <f>390/O10</f>
        <v>1.0636378829581183</v>
      </c>
      <c r="Z10" s="44">
        <v>1.1524910215406019</v>
      </c>
      <c r="AA10" s="45">
        <v>0.14429038608984901</v>
      </c>
      <c r="AB10" s="45">
        <v>1.1115474612381175</v>
      </c>
      <c r="AC10" s="45">
        <v>0.9551752227911734</v>
      </c>
      <c r="AD10" s="46">
        <v>1.4624827568236274</v>
      </c>
    </row>
    <row r="11" spans="1:32" x14ac:dyDescent="0.25">
      <c r="A11" s="16">
        <v>13</v>
      </c>
      <c r="B11" s="10">
        <v>7</v>
      </c>
      <c r="C11" s="10" t="s">
        <v>5</v>
      </c>
      <c r="D11" s="10" t="s">
        <v>46</v>
      </c>
      <c r="E11" s="10">
        <v>30</v>
      </c>
      <c r="F11" s="10" t="s">
        <v>141</v>
      </c>
      <c r="G11" s="10">
        <v>170</v>
      </c>
      <c r="H11" s="10">
        <v>90</v>
      </c>
      <c r="I11" s="10">
        <v>93</v>
      </c>
      <c r="J11" s="10">
        <v>93.7</v>
      </c>
      <c r="K11" s="10">
        <v>0</v>
      </c>
      <c r="L11" s="66">
        <v>4.42</v>
      </c>
      <c r="M11" s="12">
        <v>556</v>
      </c>
      <c r="N11" s="37">
        <v>405.13200000000001</v>
      </c>
      <c r="O11" s="113">
        <v>495.46078286966917</v>
      </c>
      <c r="P11" s="51">
        <v>0.96879514301793679</v>
      </c>
      <c r="Q11" s="28">
        <v>1.2374643912911572</v>
      </c>
      <c r="R11" s="28">
        <v>1.1453658706970122</v>
      </c>
      <c r="S11" s="28">
        <v>1.0045110929909482</v>
      </c>
      <c r="T11" s="28">
        <v>1.0517603184760778</v>
      </c>
      <c r="U11" s="28">
        <v>1.0710134477584041</v>
      </c>
      <c r="V11" s="28">
        <v>1.3526563613003355</v>
      </c>
      <c r="W11" s="28">
        <v>1.0710134477584041</v>
      </c>
      <c r="X11" s="28">
        <v>1.1313027153951389</v>
      </c>
      <c r="Y11" s="28">
        <f>525/O11</f>
        <v>1.0596196876758681</v>
      </c>
      <c r="Z11" s="40">
        <v>1.1148758654094904</v>
      </c>
      <c r="AA11" s="28">
        <v>0.11943531136213384</v>
      </c>
      <c r="AB11" s="28">
        <v>1.0710134477584041</v>
      </c>
      <c r="AC11" s="28">
        <v>0.96879514301793679</v>
      </c>
      <c r="AD11" s="29">
        <v>1.3526563613003355</v>
      </c>
    </row>
    <row r="12" spans="1:32" x14ac:dyDescent="0.25">
      <c r="A12" s="17">
        <v>6</v>
      </c>
      <c r="B12" s="11">
        <v>10</v>
      </c>
      <c r="C12" s="11" t="s">
        <v>5</v>
      </c>
      <c r="D12" s="11" t="s">
        <v>42</v>
      </c>
      <c r="E12" s="11" t="s">
        <v>45</v>
      </c>
      <c r="F12" s="11" t="s">
        <v>5</v>
      </c>
      <c r="G12" s="11">
        <v>175</v>
      </c>
      <c r="H12" s="11">
        <v>70</v>
      </c>
      <c r="I12" s="11">
        <v>68</v>
      </c>
      <c r="J12" s="11">
        <v>0</v>
      </c>
      <c r="K12" s="11">
        <v>0.2</v>
      </c>
      <c r="L12" s="67">
        <v>0</v>
      </c>
      <c r="M12" s="13">
        <v>320</v>
      </c>
      <c r="N12" s="36" t="s">
        <v>45</v>
      </c>
      <c r="O12" s="35">
        <v>366.44272358901554</v>
      </c>
      <c r="P12" s="52">
        <v>1.1461545637649275</v>
      </c>
      <c r="Q12" s="53">
        <v>0.90814625846100616</v>
      </c>
      <c r="R12" s="53">
        <v>1.0191394102206464</v>
      </c>
      <c r="S12" s="53">
        <v>0.65393940438639708</v>
      </c>
      <c r="T12" s="53">
        <v>0.89768274161364991</v>
      </c>
      <c r="U12" s="53">
        <v>0.84949243781348294</v>
      </c>
      <c r="V12" s="53">
        <v>1.0124647965988649</v>
      </c>
      <c r="W12" s="53">
        <v>0.75706061815502113</v>
      </c>
      <c r="X12" s="53">
        <v>0.96247304567900993</v>
      </c>
      <c r="Y12" s="53">
        <f>286/O12</f>
        <v>0.78047667913516483</v>
      </c>
      <c r="Z12" s="44">
        <v>0.91183925296588952</v>
      </c>
      <c r="AA12" s="45">
        <v>0.14734152405663753</v>
      </c>
      <c r="AB12" s="45">
        <v>0.90814625846100616</v>
      </c>
      <c r="AC12" s="45">
        <v>0.65393940438639708</v>
      </c>
      <c r="AD12" s="46">
        <v>1.1461545637649275</v>
      </c>
    </row>
    <row r="13" spans="1:32" x14ac:dyDescent="0.25">
      <c r="A13" s="16">
        <v>7</v>
      </c>
      <c r="B13" s="10">
        <v>11</v>
      </c>
      <c r="C13" s="10" t="s">
        <v>16</v>
      </c>
      <c r="D13" s="10" t="s">
        <v>42</v>
      </c>
      <c r="E13" s="10" t="s">
        <v>45</v>
      </c>
      <c r="F13" s="10" t="s">
        <v>84</v>
      </c>
      <c r="G13" s="10">
        <v>175</v>
      </c>
      <c r="H13" s="10">
        <v>70</v>
      </c>
      <c r="I13" s="10">
        <v>67</v>
      </c>
      <c r="J13" s="10">
        <v>0</v>
      </c>
      <c r="K13" s="10">
        <v>0.2</v>
      </c>
      <c r="L13" s="66">
        <v>0</v>
      </c>
      <c r="M13" s="12">
        <v>301</v>
      </c>
      <c r="N13" s="37" t="s">
        <v>45</v>
      </c>
      <c r="O13" s="113">
        <v>360.9185652108211</v>
      </c>
      <c r="P13" s="51">
        <v>1.1636974112281202</v>
      </c>
      <c r="Q13" s="28">
        <v>0.90877629474801358</v>
      </c>
      <c r="R13" s="28">
        <v>0.99773582519407256</v>
      </c>
      <c r="S13" s="28">
        <v>0.61287552928406597</v>
      </c>
      <c r="T13" s="28">
        <v>0.95235749954666482</v>
      </c>
      <c r="U13" s="28">
        <v>0.83568132065921064</v>
      </c>
      <c r="V13" s="28">
        <v>0.98137888978528365</v>
      </c>
      <c r="W13" s="28">
        <v>0.75971029150837333</v>
      </c>
      <c r="X13" s="28">
        <v>0.95641779992817177</v>
      </c>
      <c r="Y13" s="28">
        <f>298/O13</f>
        <v>0.82567102034757101</v>
      </c>
      <c r="Z13" s="40">
        <v>0.90762565132021955</v>
      </c>
      <c r="AA13" s="28">
        <v>0.15710173481564355</v>
      </c>
      <c r="AB13" s="28">
        <v>0.95235749954666482</v>
      </c>
      <c r="AC13" s="28">
        <v>0.61287552928406597</v>
      </c>
      <c r="AD13" s="29">
        <v>1.1636974112281202</v>
      </c>
    </row>
    <row r="14" spans="1:32" x14ac:dyDescent="0.25">
      <c r="A14" s="17">
        <v>8</v>
      </c>
      <c r="B14" s="11">
        <v>12</v>
      </c>
      <c r="C14" s="11" t="s">
        <v>17</v>
      </c>
      <c r="D14" s="11" t="s">
        <v>42</v>
      </c>
      <c r="E14" s="11" t="s">
        <v>45</v>
      </c>
      <c r="F14" s="11" t="s">
        <v>85</v>
      </c>
      <c r="G14" s="11">
        <v>175</v>
      </c>
      <c r="H14" s="11">
        <v>70</v>
      </c>
      <c r="I14" s="11">
        <v>67</v>
      </c>
      <c r="J14" s="11">
        <v>0</v>
      </c>
      <c r="K14" s="11">
        <v>0.2</v>
      </c>
      <c r="L14" s="67">
        <v>0</v>
      </c>
      <c r="M14" s="13">
        <v>296</v>
      </c>
      <c r="N14" s="36" t="s">
        <v>45</v>
      </c>
      <c r="O14" s="35">
        <v>316.38067684087571</v>
      </c>
      <c r="P14" s="52">
        <v>1.2642997163862217</v>
      </c>
      <c r="Q14" s="53">
        <v>1.0081257746460754</v>
      </c>
      <c r="R14" s="53">
        <v>1.1030578055521723</v>
      </c>
      <c r="S14" s="53">
        <v>0.69915191689560641</v>
      </c>
      <c r="T14" s="53">
        <v>1.0431929226679859</v>
      </c>
      <c r="U14" s="53">
        <v>0.92783285638021096</v>
      </c>
      <c r="V14" s="53">
        <v>1.0749221321001072</v>
      </c>
      <c r="W14" s="53">
        <v>0.83352017592398053</v>
      </c>
      <c r="X14" s="53">
        <v>1.0223057591507299</v>
      </c>
      <c r="Y14" s="53">
        <f>286/O14</f>
        <v>0.90397429721614853</v>
      </c>
      <c r="Z14" s="44">
        <v>0.99737878441145456</v>
      </c>
      <c r="AA14" s="45">
        <v>0.16274563800941727</v>
      </c>
      <c r="AB14" s="45">
        <v>1.0223057591507299</v>
      </c>
      <c r="AC14" s="45">
        <v>0.69915191689560641</v>
      </c>
      <c r="AD14" s="46">
        <v>1.2642997163862217</v>
      </c>
    </row>
    <row r="15" spans="1:32" x14ac:dyDescent="0.25">
      <c r="A15" s="18">
        <v>9</v>
      </c>
      <c r="B15" s="14">
        <v>13</v>
      </c>
      <c r="C15" s="14" t="s">
        <v>40</v>
      </c>
      <c r="D15" s="14" t="s">
        <v>42</v>
      </c>
      <c r="E15" s="14" t="s">
        <v>45</v>
      </c>
      <c r="F15" s="14" t="s">
        <v>86</v>
      </c>
      <c r="G15" s="14">
        <v>175</v>
      </c>
      <c r="H15" s="14">
        <v>70</v>
      </c>
      <c r="I15" s="14">
        <v>71</v>
      </c>
      <c r="J15" s="14">
        <v>0</v>
      </c>
      <c r="K15" s="14">
        <v>0.2</v>
      </c>
      <c r="L15" s="68">
        <v>0</v>
      </c>
      <c r="M15" s="15">
        <v>311</v>
      </c>
      <c r="N15" s="38" t="s">
        <v>45</v>
      </c>
      <c r="O15" s="114">
        <v>480.78275829819569</v>
      </c>
      <c r="P15" s="54">
        <v>1.2063660561643246</v>
      </c>
      <c r="Q15" s="42">
        <v>0.75484320141810257</v>
      </c>
      <c r="R15" s="42" t="s">
        <v>45</v>
      </c>
      <c r="S15" s="42">
        <v>1.016008278670097</v>
      </c>
      <c r="T15" s="42">
        <v>0.67482119671216512</v>
      </c>
      <c r="U15" s="42" t="s">
        <v>45</v>
      </c>
      <c r="V15" s="42" t="s">
        <v>45</v>
      </c>
      <c r="W15" s="42">
        <v>1.133903578930872</v>
      </c>
      <c r="X15" s="42">
        <v>2.073730406668234</v>
      </c>
      <c r="Y15" s="42">
        <f>396/O15</f>
        <v>0.82365682455357325</v>
      </c>
      <c r="Z15" s="41">
        <v>1.1432787864272991</v>
      </c>
      <c r="AA15" s="42">
        <v>0.5012665189169091</v>
      </c>
      <c r="AB15" s="42">
        <v>1.0749559288004846</v>
      </c>
      <c r="AC15" s="42">
        <v>0.67482119671216512</v>
      </c>
      <c r="AD15" s="43">
        <v>2.073730406668234</v>
      </c>
    </row>
    <row r="16" spans="1:32" x14ac:dyDescent="0.25">
      <c r="A16" s="57"/>
      <c r="B16" s="127" t="s">
        <v>39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8"/>
      <c r="N16" s="102" t="s">
        <v>136</v>
      </c>
      <c r="O16" s="103" t="s">
        <v>145</v>
      </c>
      <c r="P16" s="129" t="s">
        <v>66</v>
      </c>
      <c r="Q16" s="127"/>
      <c r="R16" s="127"/>
      <c r="S16" s="127"/>
      <c r="T16" s="127"/>
      <c r="U16" s="127"/>
      <c r="V16" s="127"/>
      <c r="W16" s="127"/>
      <c r="X16" s="128"/>
      <c r="Y16" s="117"/>
      <c r="Z16" s="123" t="s">
        <v>67</v>
      </c>
      <c r="AA16" s="123"/>
      <c r="AB16" s="123"/>
      <c r="AC16" s="123"/>
      <c r="AD16" s="124"/>
    </row>
    <row r="17" spans="1:30" x14ac:dyDescent="0.25">
      <c r="A17" s="11">
        <v>10</v>
      </c>
      <c r="B17" s="11">
        <v>100</v>
      </c>
      <c r="C17" s="11" t="s">
        <v>65</v>
      </c>
      <c r="D17" s="11" t="s">
        <v>42</v>
      </c>
      <c r="E17" s="11" t="s">
        <v>45</v>
      </c>
      <c r="F17" s="11" t="s">
        <v>116</v>
      </c>
      <c r="G17" s="11">
        <v>170</v>
      </c>
      <c r="H17" s="11">
        <v>75</v>
      </c>
      <c r="I17" s="11" t="s">
        <v>45</v>
      </c>
      <c r="J17" s="11" t="s">
        <v>45</v>
      </c>
      <c r="K17" s="11" t="s">
        <v>45</v>
      </c>
      <c r="L17" s="11">
        <v>0</v>
      </c>
      <c r="M17" s="11">
        <v>1000</v>
      </c>
      <c r="N17" s="35" t="s">
        <v>45</v>
      </c>
      <c r="O17" s="35">
        <v>662.58164701789372</v>
      </c>
      <c r="P17" s="58">
        <v>1.1406297956864242</v>
      </c>
      <c r="Q17" s="53">
        <v>0.78069350551441996</v>
      </c>
      <c r="R17" s="53">
        <v>1.2859905440391453</v>
      </c>
      <c r="S17" s="53">
        <v>0.70941609243911741</v>
      </c>
      <c r="T17" s="53">
        <v>0.98400185057143463</v>
      </c>
      <c r="U17" s="45">
        <v>1.1721014409637478</v>
      </c>
      <c r="V17" s="45">
        <v>0.91972736853956427</v>
      </c>
      <c r="W17" s="45">
        <v>0.99683393577290658</v>
      </c>
      <c r="X17" s="45">
        <v>1.2705224912000805</v>
      </c>
      <c r="Y17" s="45">
        <f>658/O17</f>
        <v>0.99308515857854729</v>
      </c>
      <c r="Z17" s="63">
        <v>1.0288796694140934</v>
      </c>
      <c r="AA17" s="61">
        <v>0.20497144409606757</v>
      </c>
      <c r="AB17" s="61">
        <v>0.99683393577290658</v>
      </c>
      <c r="AC17" s="61">
        <v>0.70941609243911741</v>
      </c>
      <c r="AD17" s="62">
        <v>1.2859905440391453</v>
      </c>
    </row>
    <row r="18" spans="1:30" x14ac:dyDescent="0.25">
      <c r="A18" s="49">
        <v>11</v>
      </c>
      <c r="B18" s="49">
        <v>101</v>
      </c>
      <c r="C18" s="10" t="s">
        <v>65</v>
      </c>
      <c r="D18" s="10" t="s">
        <v>42</v>
      </c>
      <c r="E18" s="10" t="s">
        <v>45</v>
      </c>
      <c r="F18" s="10" t="s">
        <v>117</v>
      </c>
      <c r="G18" s="50">
        <v>170</v>
      </c>
      <c r="H18" s="50">
        <v>75</v>
      </c>
      <c r="I18" s="50" t="s">
        <v>45</v>
      </c>
      <c r="J18" s="50" t="s">
        <v>45</v>
      </c>
      <c r="K18" s="50" t="s">
        <v>45</v>
      </c>
      <c r="L18" s="50">
        <v>0</v>
      </c>
      <c r="M18" s="56">
        <v>999</v>
      </c>
      <c r="N18" s="64" t="s">
        <v>45</v>
      </c>
      <c r="O18" s="115">
        <v>744.42947258728066</v>
      </c>
      <c r="P18" s="73">
        <v>1.0152209127843006</v>
      </c>
      <c r="Q18" s="71">
        <v>0.80218199028928372</v>
      </c>
      <c r="R18" s="71">
        <v>1.1138459102384437</v>
      </c>
      <c r="S18" s="71">
        <v>0.6685601132969784</v>
      </c>
      <c r="T18" s="71">
        <v>0.95662285692810423</v>
      </c>
      <c r="U18" s="71">
        <v>1.0280659334795896</v>
      </c>
      <c r="V18" s="71">
        <v>1.0364250346697874</v>
      </c>
      <c r="W18" s="71">
        <v>0.85906879372952005</v>
      </c>
      <c r="X18" s="71">
        <v>1.0538859726699759</v>
      </c>
      <c r="Y18" s="71">
        <f>685/O18</f>
        <v>0.92016775963916064</v>
      </c>
      <c r="Z18" s="73">
        <v>0.94820861312066484</v>
      </c>
      <c r="AA18" s="71">
        <v>0.14352576441137743</v>
      </c>
      <c r="AB18" s="71">
        <v>1.0152209127843006</v>
      </c>
      <c r="AC18" s="71">
        <v>0.6685601132969784</v>
      </c>
      <c r="AD18" s="72">
        <v>1.1138459102384437</v>
      </c>
    </row>
    <row r="19" spans="1:30" x14ac:dyDescent="0.25">
      <c r="A19" s="11">
        <v>12</v>
      </c>
      <c r="B19" s="11">
        <v>102</v>
      </c>
      <c r="C19" s="11" t="s">
        <v>65</v>
      </c>
      <c r="D19" s="11" t="s">
        <v>42</v>
      </c>
      <c r="E19" s="11" t="s">
        <v>45</v>
      </c>
      <c r="F19" s="11" t="s">
        <v>118</v>
      </c>
      <c r="G19" s="11">
        <v>170</v>
      </c>
      <c r="H19" s="11">
        <v>75</v>
      </c>
      <c r="I19" s="11" t="s">
        <v>45</v>
      </c>
      <c r="J19" s="11" t="s">
        <v>45</v>
      </c>
      <c r="K19" s="11" t="s">
        <v>45</v>
      </c>
      <c r="L19" s="11">
        <v>0</v>
      </c>
      <c r="M19" s="11">
        <v>999</v>
      </c>
      <c r="N19" s="35" t="s">
        <v>45</v>
      </c>
      <c r="O19" s="35">
        <v>731.52911297108335</v>
      </c>
      <c r="P19" s="58">
        <v>0.90713337074298261</v>
      </c>
      <c r="Q19" s="53">
        <v>0.80405810069917349</v>
      </c>
      <c r="R19" s="53">
        <v>1.0562308194842667</v>
      </c>
      <c r="S19" s="53">
        <v>0.59215650590166924</v>
      </c>
      <c r="T19" s="53">
        <v>0.90016608249269281</v>
      </c>
      <c r="U19" s="45">
        <v>0.90839327820234772</v>
      </c>
      <c r="V19" s="45">
        <v>0.94218065246812677</v>
      </c>
      <c r="W19" s="45">
        <v>0.7959465374539989</v>
      </c>
      <c r="X19" s="45">
        <v>1.0053557562750977</v>
      </c>
      <c r="Y19" s="45">
        <f>661/O19</f>
        <v>0.90358673124486943</v>
      </c>
      <c r="Z19" s="44">
        <v>0.87906901152448391</v>
      </c>
      <c r="AA19" s="45">
        <v>0.13613646780026731</v>
      </c>
      <c r="AB19" s="45">
        <v>0.90713337074298261</v>
      </c>
      <c r="AC19" s="45">
        <v>0.59215650590166924</v>
      </c>
      <c r="AD19" s="46">
        <v>1.0562308194842667</v>
      </c>
    </row>
    <row r="20" spans="1:30" x14ac:dyDescent="0.25">
      <c r="N20" s="50"/>
      <c r="O20" s="50"/>
    </row>
  </sheetData>
  <mergeCells count="6">
    <mergeCell ref="Z1:AD1"/>
    <mergeCell ref="B1:M1"/>
    <mergeCell ref="P1:W1"/>
    <mergeCell ref="Z16:AD16"/>
    <mergeCell ref="B16:M16"/>
    <mergeCell ref="P16:X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8"/>
  <sheetViews>
    <sheetView zoomScale="85" zoomScaleNormal="85" workbookViewId="0">
      <selection activeCell="Y7" sqref="Y7:Y18"/>
    </sheetView>
  </sheetViews>
  <sheetFormatPr defaultRowHeight="15" x14ac:dyDescent="0.25"/>
  <cols>
    <col min="1" max="1" width="12.28515625" customWidth="1"/>
    <col min="3" max="3" width="23.85546875" bestFit="1" customWidth="1"/>
    <col min="4" max="4" width="17" customWidth="1"/>
    <col min="5" max="5" width="16.28515625" customWidth="1"/>
    <col min="6" max="6" width="31" customWidth="1"/>
    <col min="7" max="7" width="10.7109375" customWidth="1"/>
    <col min="8" max="8" width="9.7109375" customWidth="1"/>
    <col min="10" max="10" width="11.140625" customWidth="1"/>
    <col min="14" max="14" width="15.140625" bestFit="1" customWidth="1"/>
    <col min="15" max="15" width="17.28515625" customWidth="1"/>
    <col min="16" max="16" width="22.140625" bestFit="1" customWidth="1"/>
  </cols>
  <sheetData>
    <row r="1" spans="1:32" ht="18" customHeight="1" x14ac:dyDescent="0.25">
      <c r="B1" s="125" t="s">
        <v>39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6"/>
      <c r="N1" s="102" t="s">
        <v>136</v>
      </c>
      <c r="O1" s="103" t="s">
        <v>145</v>
      </c>
      <c r="P1" s="122" t="s">
        <v>143</v>
      </c>
      <c r="Q1" s="123"/>
      <c r="R1" s="123"/>
      <c r="S1" s="123"/>
      <c r="T1" s="123"/>
      <c r="U1" s="123"/>
      <c r="V1" s="123"/>
      <c r="W1" s="123"/>
      <c r="X1" s="77"/>
      <c r="Y1" s="116"/>
      <c r="Z1" s="122" t="s">
        <v>63</v>
      </c>
      <c r="AA1" s="123"/>
      <c r="AB1" s="123"/>
      <c r="AC1" s="123"/>
      <c r="AD1" s="124"/>
    </row>
    <row r="2" spans="1:32" ht="45" x14ac:dyDescent="0.25">
      <c r="A2" s="19" t="s">
        <v>47</v>
      </c>
      <c r="B2" s="20" t="s">
        <v>0</v>
      </c>
      <c r="C2" s="20" t="s">
        <v>21</v>
      </c>
      <c r="D2" s="20" t="s">
        <v>22</v>
      </c>
      <c r="E2" s="20" t="s">
        <v>43</v>
      </c>
      <c r="F2" s="20" t="s">
        <v>59</v>
      </c>
      <c r="G2" s="20" t="s">
        <v>23</v>
      </c>
      <c r="H2" s="20" t="s">
        <v>24</v>
      </c>
      <c r="I2" s="20" t="s">
        <v>2</v>
      </c>
      <c r="J2" s="20" t="s">
        <v>25</v>
      </c>
      <c r="K2" s="20" t="s">
        <v>26</v>
      </c>
      <c r="L2" s="20" t="s">
        <v>27</v>
      </c>
      <c r="M2" s="27" t="s">
        <v>28</v>
      </c>
      <c r="N2" s="20" t="s">
        <v>60</v>
      </c>
      <c r="O2" s="104"/>
      <c r="P2" s="21" t="s">
        <v>83</v>
      </c>
      <c r="Q2" s="83" t="s">
        <v>112</v>
      </c>
      <c r="R2" s="83" t="s">
        <v>79</v>
      </c>
      <c r="S2" s="83" t="s">
        <v>87</v>
      </c>
      <c r="T2" s="83" t="s">
        <v>113</v>
      </c>
      <c r="U2" s="83" t="s">
        <v>114</v>
      </c>
      <c r="V2" s="83" t="s">
        <v>95</v>
      </c>
      <c r="W2" s="83" t="s">
        <v>75</v>
      </c>
      <c r="X2" s="83" t="s">
        <v>80</v>
      </c>
      <c r="Y2" s="83" t="s">
        <v>146</v>
      </c>
      <c r="Z2" s="22" t="s">
        <v>35</v>
      </c>
      <c r="AA2" s="23" t="s">
        <v>70</v>
      </c>
      <c r="AB2" s="23" t="s">
        <v>36</v>
      </c>
      <c r="AC2" s="23" t="s">
        <v>37</v>
      </c>
      <c r="AD2" s="24" t="s">
        <v>38</v>
      </c>
      <c r="AE2" s="81" t="s">
        <v>76</v>
      </c>
      <c r="AF2" s="74" t="s">
        <v>73</v>
      </c>
    </row>
    <row r="3" spans="1:32" x14ac:dyDescent="0.25">
      <c r="A3" s="16">
        <v>2</v>
      </c>
      <c r="B3" s="10">
        <v>1</v>
      </c>
      <c r="C3" s="10" t="s">
        <v>5</v>
      </c>
      <c r="D3" s="10" t="s">
        <v>4</v>
      </c>
      <c r="E3" s="10" t="s">
        <v>45</v>
      </c>
      <c r="F3" s="10" t="s">
        <v>50</v>
      </c>
      <c r="G3" s="10" t="s">
        <v>45</v>
      </c>
      <c r="H3" s="10" t="s">
        <v>45</v>
      </c>
      <c r="I3" s="10">
        <v>81</v>
      </c>
      <c r="J3" s="10">
        <v>0</v>
      </c>
      <c r="K3" s="10">
        <v>0</v>
      </c>
      <c r="L3" s="66">
        <v>2.85</v>
      </c>
      <c r="M3" s="65">
        <v>313</v>
      </c>
      <c r="N3" s="34">
        <v>311.89999999999998</v>
      </c>
      <c r="O3" s="105"/>
      <c r="P3" s="30"/>
      <c r="Q3" s="25"/>
      <c r="R3" s="25"/>
      <c r="S3" s="25"/>
      <c r="T3" s="25"/>
      <c r="U3" s="25"/>
      <c r="V3" s="25"/>
      <c r="W3" s="25"/>
      <c r="X3" s="25"/>
      <c r="Y3" s="25"/>
      <c r="Z3" s="32"/>
      <c r="AA3" s="25"/>
      <c r="AB3" s="25"/>
      <c r="AC3" s="25"/>
      <c r="AD3" s="26"/>
      <c r="AE3" s="80">
        <v>0.53853757520628542</v>
      </c>
      <c r="AF3" s="75">
        <v>1.06</v>
      </c>
    </row>
    <row r="4" spans="1:32" x14ac:dyDescent="0.25">
      <c r="A4" s="17">
        <v>3</v>
      </c>
      <c r="B4" s="11">
        <v>2</v>
      </c>
      <c r="C4" s="11" t="s">
        <v>5</v>
      </c>
      <c r="D4" s="11" t="s">
        <v>4</v>
      </c>
      <c r="E4" s="11" t="s">
        <v>45</v>
      </c>
      <c r="F4" s="11" t="s">
        <v>51</v>
      </c>
      <c r="G4" s="11" t="s">
        <v>45</v>
      </c>
      <c r="H4" s="11" t="s">
        <v>45</v>
      </c>
      <c r="I4" s="11">
        <v>109</v>
      </c>
      <c r="J4" s="11">
        <v>0</v>
      </c>
      <c r="K4" s="11">
        <v>0</v>
      </c>
      <c r="L4" s="67">
        <v>3.86</v>
      </c>
      <c r="M4" s="39">
        <v>1392</v>
      </c>
      <c r="N4" s="36">
        <v>1146</v>
      </c>
      <c r="O4" s="106"/>
      <c r="P4" s="33"/>
      <c r="Q4" s="9"/>
      <c r="R4" s="9"/>
      <c r="S4" s="9"/>
      <c r="T4" s="9"/>
      <c r="U4" s="9"/>
      <c r="V4" s="9"/>
      <c r="W4" s="9"/>
      <c r="X4" s="9"/>
      <c r="Y4" s="9"/>
      <c r="Z4" s="17"/>
      <c r="AA4" s="11"/>
      <c r="AB4" s="11"/>
      <c r="AC4" s="11"/>
      <c r="AD4" s="13"/>
      <c r="AE4" s="80">
        <v>0.69458004571934229</v>
      </c>
    </row>
    <row r="5" spans="1:32" x14ac:dyDescent="0.25">
      <c r="A5" s="16">
        <v>4</v>
      </c>
      <c r="B5" s="10">
        <v>3</v>
      </c>
      <c r="C5" s="10" t="s">
        <v>5</v>
      </c>
      <c r="D5" s="10" t="s">
        <v>41</v>
      </c>
      <c r="E5" s="10" t="s">
        <v>45</v>
      </c>
      <c r="F5" s="10" t="s">
        <v>52</v>
      </c>
      <c r="G5" s="10" t="s">
        <v>45</v>
      </c>
      <c r="H5" s="10" t="s">
        <v>45</v>
      </c>
      <c r="I5" s="10">
        <v>81</v>
      </c>
      <c r="J5" s="10">
        <v>0</v>
      </c>
      <c r="K5" s="10">
        <v>0</v>
      </c>
      <c r="L5" s="66">
        <v>3.26</v>
      </c>
      <c r="M5" s="65">
        <v>614</v>
      </c>
      <c r="N5" s="37">
        <v>329.5</v>
      </c>
      <c r="O5" s="107"/>
      <c r="P5" s="31"/>
      <c r="Q5" s="10"/>
      <c r="R5" s="10"/>
      <c r="S5" s="10"/>
      <c r="T5" s="10"/>
      <c r="U5" s="10"/>
      <c r="V5" s="10"/>
      <c r="W5" s="10"/>
      <c r="X5" s="10"/>
      <c r="Y5" s="10"/>
      <c r="Z5" s="16"/>
      <c r="AA5" s="10"/>
      <c r="AB5" s="10"/>
      <c r="AC5" s="10"/>
      <c r="AD5" s="12"/>
    </row>
    <row r="6" spans="1:32" x14ac:dyDescent="0.25">
      <c r="A6" s="17">
        <v>7</v>
      </c>
      <c r="B6" s="11">
        <v>4</v>
      </c>
      <c r="C6" s="11" t="s">
        <v>5</v>
      </c>
      <c r="D6" s="11" t="s">
        <v>41</v>
      </c>
      <c r="E6" s="11" t="s">
        <v>45</v>
      </c>
      <c r="F6" s="11" t="s">
        <v>53</v>
      </c>
      <c r="G6" s="11" t="s">
        <v>45</v>
      </c>
      <c r="H6" s="11" t="s">
        <v>45</v>
      </c>
      <c r="I6" s="11">
        <v>123.4</v>
      </c>
      <c r="J6" s="11">
        <v>0</v>
      </c>
      <c r="K6" s="11">
        <v>0</v>
      </c>
      <c r="L6" s="67">
        <v>4.79</v>
      </c>
      <c r="M6" s="39">
        <v>1562</v>
      </c>
      <c r="N6" s="36">
        <v>893.2</v>
      </c>
      <c r="O6" s="106"/>
      <c r="P6" s="33"/>
      <c r="Q6" s="9"/>
      <c r="R6" s="9"/>
      <c r="S6" s="9"/>
      <c r="T6" s="9"/>
      <c r="U6" s="9"/>
      <c r="V6" s="9"/>
      <c r="W6" s="9"/>
      <c r="X6" s="9"/>
      <c r="Y6" s="9"/>
      <c r="Z6" s="17"/>
      <c r="AA6" s="11"/>
      <c r="AB6" s="11"/>
      <c r="AC6" s="11"/>
      <c r="AD6" s="13"/>
    </row>
    <row r="7" spans="1:32" x14ac:dyDescent="0.25">
      <c r="A7" s="16">
        <v>13</v>
      </c>
      <c r="B7" s="10">
        <v>9</v>
      </c>
      <c r="C7" s="10" t="s">
        <v>5</v>
      </c>
      <c r="D7" s="10" t="s">
        <v>46</v>
      </c>
      <c r="E7" s="10">
        <v>10</v>
      </c>
      <c r="F7" s="10" t="s">
        <v>131</v>
      </c>
      <c r="G7" s="10">
        <v>140</v>
      </c>
      <c r="H7" s="10">
        <v>45</v>
      </c>
      <c r="I7" s="10">
        <v>92</v>
      </c>
      <c r="J7" s="10">
        <v>0</v>
      </c>
      <c r="K7" s="10">
        <v>0</v>
      </c>
      <c r="L7" s="66">
        <v>3.8</v>
      </c>
      <c r="M7" s="65">
        <v>512</v>
      </c>
      <c r="N7" s="82">
        <v>318</v>
      </c>
      <c r="O7" s="108">
        <v>354.75973342025242</v>
      </c>
      <c r="P7" s="51">
        <v>1.7617557493753608</v>
      </c>
      <c r="Q7" s="28">
        <v>1.7519676628906928</v>
      </c>
      <c r="R7" s="28">
        <v>1.5126418920645903</v>
      </c>
      <c r="S7" s="28">
        <v>1.1989505190319196</v>
      </c>
      <c r="T7" s="28">
        <v>1.445118019216133</v>
      </c>
      <c r="U7" s="28">
        <v>1.587015088622836</v>
      </c>
      <c r="V7" s="28">
        <v>2.0076043797406826</v>
      </c>
      <c r="W7" s="28">
        <v>1.2678263999124768</v>
      </c>
      <c r="X7" s="28">
        <v>1.4772856065459044</v>
      </c>
      <c r="Y7" s="28">
        <f>468/O7</f>
        <v>1.3192027051322701</v>
      </c>
      <c r="Z7" s="40">
        <v>1.5566850352667332</v>
      </c>
      <c r="AA7" s="28">
        <v>0.25410185751322378</v>
      </c>
      <c r="AB7" s="28">
        <v>1.5126418920645903</v>
      </c>
      <c r="AC7" s="28">
        <v>1.1989505190319196</v>
      </c>
      <c r="AD7" s="29">
        <v>2.0076043797406826</v>
      </c>
    </row>
    <row r="8" spans="1:32" x14ac:dyDescent="0.25">
      <c r="A8" s="17">
        <v>12</v>
      </c>
      <c r="B8" s="11">
        <v>8</v>
      </c>
      <c r="C8" s="11" t="s">
        <v>5</v>
      </c>
      <c r="D8" s="11" t="s">
        <v>46</v>
      </c>
      <c r="E8" s="11">
        <v>15</v>
      </c>
      <c r="F8" s="11" t="s">
        <v>132</v>
      </c>
      <c r="G8" s="11">
        <v>160</v>
      </c>
      <c r="H8" s="11">
        <v>55</v>
      </c>
      <c r="I8" s="11">
        <v>100</v>
      </c>
      <c r="J8" s="11">
        <v>0</v>
      </c>
      <c r="K8" s="11">
        <v>0</v>
      </c>
      <c r="L8" s="67">
        <v>4.1500000000000004</v>
      </c>
      <c r="M8" s="39">
        <v>637</v>
      </c>
      <c r="N8" s="36">
        <v>433.43400000000003</v>
      </c>
      <c r="O8" s="106">
        <v>475.23627884269143</v>
      </c>
      <c r="P8" s="52">
        <v>1.5844749938572167</v>
      </c>
      <c r="Q8" s="53">
        <v>1.6427490116643846</v>
      </c>
      <c r="R8" s="53">
        <v>1.4670482898182229</v>
      </c>
      <c r="S8" s="53">
        <v>1.1806463391579676</v>
      </c>
      <c r="T8" s="53">
        <v>1.3752054302414669</v>
      </c>
      <c r="U8" s="53">
        <v>1.4746177562668565</v>
      </c>
      <c r="V8" s="53">
        <v>1.86427865489621</v>
      </c>
      <c r="W8" s="53">
        <v>1.1980227872947682</v>
      </c>
      <c r="X8" s="53">
        <v>1.432752417933973</v>
      </c>
      <c r="Y8" s="53">
        <f>561/O8</f>
        <v>1.180465433670516</v>
      </c>
      <c r="Z8" s="44">
        <v>1.4688661867923409</v>
      </c>
      <c r="AA8" s="45">
        <v>0.2140360388841917</v>
      </c>
      <c r="AB8" s="45">
        <v>1.4670482898182229</v>
      </c>
      <c r="AC8" s="45">
        <v>1.1806463391579676</v>
      </c>
      <c r="AD8" s="46">
        <v>1.86427865489621</v>
      </c>
    </row>
    <row r="9" spans="1:32" x14ac:dyDescent="0.25">
      <c r="A9" s="16">
        <v>11</v>
      </c>
      <c r="B9" s="10">
        <v>5</v>
      </c>
      <c r="C9" s="10" t="s">
        <v>5</v>
      </c>
      <c r="D9" s="10" t="s">
        <v>46</v>
      </c>
      <c r="E9" s="10">
        <v>20</v>
      </c>
      <c r="F9" s="10" t="s">
        <v>133</v>
      </c>
      <c r="G9" s="10">
        <v>170</v>
      </c>
      <c r="H9" s="10">
        <v>70</v>
      </c>
      <c r="I9" s="10">
        <v>108</v>
      </c>
      <c r="J9" s="10">
        <v>0</v>
      </c>
      <c r="K9" s="10">
        <v>0</v>
      </c>
      <c r="L9" s="66">
        <v>4.32</v>
      </c>
      <c r="M9" s="65">
        <v>681</v>
      </c>
      <c r="N9" s="37">
        <v>514.1</v>
      </c>
      <c r="O9" s="107">
        <v>584.37257867435005</v>
      </c>
      <c r="P9" s="51">
        <v>1.4203267406606519</v>
      </c>
      <c r="Q9" s="28">
        <v>1.4401600731231505</v>
      </c>
      <c r="R9" s="28">
        <v>1.3156702710168131</v>
      </c>
      <c r="S9" s="28">
        <v>1.0685552538361771</v>
      </c>
      <c r="T9" s="28">
        <v>1.1962398635155869</v>
      </c>
      <c r="U9" s="28">
        <v>1.2832341988550755</v>
      </c>
      <c r="V9" s="28">
        <v>1.6214164503861992</v>
      </c>
      <c r="W9" s="28">
        <v>1.0488102111022477</v>
      </c>
      <c r="X9" s="28">
        <v>1.2849299495839897</v>
      </c>
      <c r="Y9" s="28">
        <f>606/O9</f>
        <v>1.03700964438597</v>
      </c>
      <c r="Z9" s="40">
        <v>1.297704779119988</v>
      </c>
      <c r="AA9" s="28">
        <v>0.18219748737382718</v>
      </c>
      <c r="AB9" s="28">
        <v>1.2849299495839897</v>
      </c>
      <c r="AC9" s="28">
        <v>1.0488102111022477</v>
      </c>
      <c r="AD9" s="29">
        <v>1.6214164503861992</v>
      </c>
    </row>
    <row r="10" spans="1:32" x14ac:dyDescent="0.25">
      <c r="A10" s="17">
        <v>10</v>
      </c>
      <c r="B10" s="11">
        <v>6</v>
      </c>
      <c r="C10" s="11" t="s">
        <v>5</v>
      </c>
      <c r="D10" s="11" t="s">
        <v>46</v>
      </c>
      <c r="E10" s="11">
        <v>25</v>
      </c>
      <c r="F10" s="11" t="s">
        <v>134</v>
      </c>
      <c r="G10" s="11">
        <v>170</v>
      </c>
      <c r="H10" s="11">
        <v>80</v>
      </c>
      <c r="I10" s="11">
        <v>109</v>
      </c>
      <c r="J10" s="11">
        <v>0</v>
      </c>
      <c r="K10" s="11">
        <v>0</v>
      </c>
      <c r="L10" s="67">
        <v>4.2</v>
      </c>
      <c r="M10" s="39">
        <v>1442</v>
      </c>
      <c r="N10" s="36">
        <v>1134.2</v>
      </c>
      <c r="O10" s="106">
        <v>1338.0146404523912</v>
      </c>
      <c r="P10" s="52">
        <v>1.3856350625379936</v>
      </c>
      <c r="Q10" s="53">
        <v>1.3313691849436071</v>
      </c>
      <c r="R10" s="53">
        <v>1.2162884586641325</v>
      </c>
      <c r="S10" s="53">
        <v>0.99424677567927033</v>
      </c>
      <c r="T10" s="53">
        <v>1.1058526671451454</v>
      </c>
      <c r="U10" s="53">
        <v>1.1865861816886527</v>
      </c>
      <c r="V10" s="53">
        <v>1.4994864637285319</v>
      </c>
      <c r="W10" s="53">
        <v>0.97057423340119231</v>
      </c>
      <c r="X10" s="53">
        <v>1.1878678807634231</v>
      </c>
      <c r="Y10" s="53">
        <f>1280/O10</f>
        <v>0.95664125137466649</v>
      </c>
      <c r="Z10" s="44">
        <v>1.2086563231724388</v>
      </c>
      <c r="AA10" s="45">
        <v>0.17505810409728301</v>
      </c>
      <c r="AB10" s="45">
        <v>1.1878678807634231</v>
      </c>
      <c r="AC10" s="45">
        <v>0.97057423340119231</v>
      </c>
      <c r="AD10" s="46">
        <v>1.4994864637285319</v>
      </c>
    </row>
    <row r="11" spans="1:32" x14ac:dyDescent="0.25">
      <c r="A11" s="16">
        <v>8</v>
      </c>
      <c r="B11" s="10">
        <v>7</v>
      </c>
      <c r="C11" s="10" t="s">
        <v>5</v>
      </c>
      <c r="D11" s="10" t="s">
        <v>46</v>
      </c>
      <c r="E11" s="10">
        <v>30</v>
      </c>
      <c r="F11" s="10" t="s">
        <v>135</v>
      </c>
      <c r="G11" s="10">
        <v>170</v>
      </c>
      <c r="H11" s="10">
        <v>90</v>
      </c>
      <c r="I11" s="10">
        <v>125</v>
      </c>
      <c r="J11" s="10">
        <v>0</v>
      </c>
      <c r="K11" s="10">
        <v>0</v>
      </c>
      <c r="L11" s="66">
        <v>4.8</v>
      </c>
      <c r="M11" s="65">
        <v>1729.3100000000002</v>
      </c>
      <c r="N11" s="82">
        <v>1403.44</v>
      </c>
      <c r="O11" s="108">
        <v>1743.6950768983584</v>
      </c>
      <c r="P11" s="51">
        <v>1.3482861947295857</v>
      </c>
      <c r="Q11" s="28">
        <v>1.2345411160300963</v>
      </c>
      <c r="R11" s="28">
        <v>1.1737284009711293</v>
      </c>
      <c r="S11" s="28">
        <v>0.97571960178363348</v>
      </c>
      <c r="T11" s="28">
        <v>1.0180492245078212</v>
      </c>
      <c r="U11" s="28">
        <v>1.0944408033304451</v>
      </c>
      <c r="V11" s="28">
        <v>1.3810584363543876</v>
      </c>
      <c r="W11" s="28">
        <v>0.90280013154395233</v>
      </c>
      <c r="X11" s="28">
        <v>1.1551533985520674</v>
      </c>
      <c r="Y11" s="28">
        <f>1360/O11</f>
        <v>0.77995288168108745</v>
      </c>
      <c r="Z11" s="40">
        <v>1.1426419230892355</v>
      </c>
      <c r="AA11" s="28">
        <v>0.16276294220892384</v>
      </c>
      <c r="AB11" s="28">
        <v>1.1551533985520674</v>
      </c>
      <c r="AC11" s="28">
        <v>0.90280013154395233</v>
      </c>
      <c r="AD11" s="29">
        <v>1.3810584363543876</v>
      </c>
    </row>
    <row r="12" spans="1:32" x14ac:dyDescent="0.25">
      <c r="A12" s="17">
        <v>16</v>
      </c>
      <c r="B12" s="11">
        <v>10</v>
      </c>
      <c r="C12" s="11" t="s">
        <v>5</v>
      </c>
      <c r="D12" s="11" t="s">
        <v>42</v>
      </c>
      <c r="E12" s="11" t="s">
        <v>45</v>
      </c>
      <c r="F12" s="11" t="s">
        <v>5</v>
      </c>
      <c r="G12" s="11">
        <v>175</v>
      </c>
      <c r="H12" s="11">
        <v>70</v>
      </c>
      <c r="I12" s="11">
        <v>77.3</v>
      </c>
      <c r="J12" s="11">
        <v>0</v>
      </c>
      <c r="K12" s="11">
        <v>0</v>
      </c>
      <c r="L12" s="67">
        <v>0</v>
      </c>
      <c r="M12" s="39">
        <v>305</v>
      </c>
      <c r="N12" s="36" t="s">
        <v>45</v>
      </c>
      <c r="O12" s="106">
        <v>337.0230070137232</v>
      </c>
      <c r="P12" s="52">
        <v>0.90201557066880445</v>
      </c>
      <c r="Q12" s="53">
        <v>0.99001712261997865</v>
      </c>
      <c r="R12" s="53">
        <v>0.91138695177631268</v>
      </c>
      <c r="S12" s="53">
        <v>0.77871075105368326</v>
      </c>
      <c r="T12" s="53">
        <v>0.8564475656847319</v>
      </c>
      <c r="U12" s="53">
        <v>0.83879231331170445</v>
      </c>
      <c r="V12" s="53">
        <v>1.0687133755840206</v>
      </c>
      <c r="W12" s="53">
        <v>0.72836307318383298</v>
      </c>
      <c r="X12" s="53">
        <v>0.90150538086638998</v>
      </c>
      <c r="Y12" s="53">
        <f>412/O12</f>
        <v>1.222468470774827</v>
      </c>
      <c r="Z12" s="44">
        <v>0.88621690052771773</v>
      </c>
      <c r="AA12" s="45">
        <v>0.10296056548199486</v>
      </c>
      <c r="AB12" s="45">
        <v>0.90150538086638998</v>
      </c>
      <c r="AC12" s="45">
        <v>0.72836307318383298</v>
      </c>
      <c r="AD12" s="46">
        <v>1.0687133755840206</v>
      </c>
    </row>
    <row r="13" spans="1:32" x14ac:dyDescent="0.25">
      <c r="A13" s="16">
        <v>17</v>
      </c>
      <c r="B13" s="10">
        <v>11</v>
      </c>
      <c r="C13" s="10" t="s">
        <v>16</v>
      </c>
      <c r="D13" s="10" t="s">
        <v>42</v>
      </c>
      <c r="E13" s="10" t="s">
        <v>45</v>
      </c>
      <c r="F13" s="10" t="s">
        <v>84</v>
      </c>
      <c r="G13" s="10">
        <v>175</v>
      </c>
      <c r="H13" s="10">
        <v>70</v>
      </c>
      <c r="I13" s="10">
        <v>77.3</v>
      </c>
      <c r="J13" s="10">
        <v>0</v>
      </c>
      <c r="K13" s="10">
        <v>0</v>
      </c>
      <c r="L13" s="66">
        <v>0</v>
      </c>
      <c r="M13" s="65">
        <v>425</v>
      </c>
      <c r="N13" s="37" t="s">
        <v>45</v>
      </c>
      <c r="O13" s="107">
        <v>527.26568817347663</v>
      </c>
      <c r="P13" s="51">
        <v>0.81932128277967309</v>
      </c>
      <c r="Q13" s="28">
        <v>0.90212813886669363</v>
      </c>
      <c r="R13" s="28">
        <v>0.81516769323650484</v>
      </c>
      <c r="S13" s="28">
        <v>0.68654372614351689</v>
      </c>
      <c r="T13" s="28">
        <v>0.76333364191266928</v>
      </c>
      <c r="U13" s="28">
        <v>0.7749362308844947</v>
      </c>
      <c r="V13" s="28">
        <v>0.9542957793394885</v>
      </c>
      <c r="W13" s="28">
        <v>0.6623001508140739</v>
      </c>
      <c r="X13" s="28">
        <v>0.79802126367607051</v>
      </c>
      <c r="Y13" s="28">
        <f>486/527</f>
        <v>0.92220113851992414</v>
      </c>
      <c r="Z13" s="40">
        <v>0.79733865640590951</v>
      </c>
      <c r="AA13" s="28">
        <v>9.2592571710368832E-2</v>
      </c>
      <c r="AB13" s="28">
        <v>0.79802126367607051</v>
      </c>
      <c r="AC13" s="28">
        <v>0.6623001508140739</v>
      </c>
      <c r="AD13" s="29">
        <v>0.9542957793394885</v>
      </c>
    </row>
    <row r="14" spans="1:32" x14ac:dyDescent="0.25">
      <c r="A14" s="17">
        <v>19</v>
      </c>
      <c r="B14" s="11">
        <v>12</v>
      </c>
      <c r="C14" s="11" t="s">
        <v>17</v>
      </c>
      <c r="D14" s="11" t="s">
        <v>42</v>
      </c>
      <c r="E14" s="11" t="s">
        <v>45</v>
      </c>
      <c r="F14" s="11" t="s">
        <v>85</v>
      </c>
      <c r="G14" s="11">
        <v>175</v>
      </c>
      <c r="H14" s="11">
        <v>70</v>
      </c>
      <c r="I14" s="11">
        <v>77.3</v>
      </c>
      <c r="J14" s="11">
        <v>0</v>
      </c>
      <c r="K14" s="11">
        <v>0</v>
      </c>
      <c r="L14" s="67">
        <v>0</v>
      </c>
      <c r="M14" s="39">
        <v>655</v>
      </c>
      <c r="N14" s="36" t="s">
        <v>45</v>
      </c>
      <c r="O14" s="106">
        <v>760.43599753244473</v>
      </c>
      <c r="P14" s="52">
        <v>0.87186824683652941</v>
      </c>
      <c r="Q14" s="53">
        <v>0.9663227234451186</v>
      </c>
      <c r="R14" s="53">
        <v>0.86938693633284847</v>
      </c>
      <c r="S14" s="53">
        <v>0.73784772771325757</v>
      </c>
      <c r="T14" s="53">
        <v>0.81326290594743367</v>
      </c>
      <c r="U14" s="53">
        <v>0.83097125141255179</v>
      </c>
      <c r="V14" s="53">
        <v>1.0151356640958207</v>
      </c>
      <c r="W14" s="53">
        <v>0.70497185113571126</v>
      </c>
      <c r="X14" s="53">
        <v>0.83698114016247427</v>
      </c>
      <c r="Y14" s="53">
        <f>746/O14</f>
        <v>0.98101615707398337</v>
      </c>
      <c r="Z14" s="44">
        <v>0.84963871634241617</v>
      </c>
      <c r="AA14" s="45">
        <v>9.8200150546591675E-2</v>
      </c>
      <c r="AB14" s="45">
        <v>0.83698114016247427</v>
      </c>
      <c r="AC14" s="45">
        <v>0.70497185113571126</v>
      </c>
      <c r="AD14" s="46">
        <v>1.0151356640958207</v>
      </c>
    </row>
    <row r="15" spans="1:32" x14ac:dyDescent="0.25">
      <c r="A15" s="18">
        <v>20</v>
      </c>
      <c r="B15" s="14">
        <v>13</v>
      </c>
      <c r="C15" s="14" t="s">
        <v>40</v>
      </c>
      <c r="D15" s="14" t="s">
        <v>42</v>
      </c>
      <c r="E15" s="14" t="s">
        <v>45</v>
      </c>
      <c r="F15" s="14" t="s">
        <v>86</v>
      </c>
      <c r="G15" s="14">
        <v>175</v>
      </c>
      <c r="H15" s="14">
        <v>70</v>
      </c>
      <c r="I15" s="14">
        <v>93</v>
      </c>
      <c r="J15" s="14">
        <v>0</v>
      </c>
      <c r="K15" s="14">
        <v>0</v>
      </c>
      <c r="L15" s="68">
        <v>0</v>
      </c>
      <c r="M15" s="69">
        <v>495</v>
      </c>
      <c r="N15" s="38" t="s">
        <v>45</v>
      </c>
      <c r="O15" s="109">
        <v>890.98154813976532</v>
      </c>
      <c r="P15" s="54">
        <v>0.81595404699218077</v>
      </c>
      <c r="Q15" s="42">
        <v>0.78335200009125938</v>
      </c>
      <c r="R15" s="42" t="s">
        <v>45</v>
      </c>
      <c r="S15" s="42">
        <v>0.88366624245575909</v>
      </c>
      <c r="T15" s="42">
        <v>0.33661589587616447</v>
      </c>
      <c r="U15" s="42" t="s">
        <v>45</v>
      </c>
      <c r="V15" s="42" t="s">
        <v>45</v>
      </c>
      <c r="W15" s="42">
        <v>0.79187160261444955</v>
      </c>
      <c r="X15" s="42">
        <v>1.2199977400010185</v>
      </c>
      <c r="Y15" s="42">
        <f>714/O15</f>
        <v>0.80136339690841407</v>
      </c>
      <c r="Z15" s="41">
        <v>0.80524292133847197</v>
      </c>
      <c r="AA15" s="42">
        <v>0.28233164849260428</v>
      </c>
      <c r="AB15" s="42">
        <v>0.80391282480331516</v>
      </c>
      <c r="AC15" s="42">
        <v>0.33661589587616447</v>
      </c>
      <c r="AD15" s="43">
        <v>1.2199977400010185</v>
      </c>
    </row>
    <row r="16" spans="1:32" x14ac:dyDescent="0.25">
      <c r="A16" s="11">
        <v>21</v>
      </c>
      <c r="B16" s="11">
        <v>100</v>
      </c>
      <c r="C16" s="11" t="s">
        <v>65</v>
      </c>
      <c r="D16" s="11" t="s">
        <v>42</v>
      </c>
      <c r="E16" s="11" t="s">
        <v>45</v>
      </c>
      <c r="F16" s="11" t="s">
        <v>116</v>
      </c>
      <c r="G16" s="11">
        <v>170</v>
      </c>
      <c r="H16" s="11">
        <v>75</v>
      </c>
      <c r="I16" s="11">
        <v>0</v>
      </c>
      <c r="J16" s="11">
        <v>0</v>
      </c>
      <c r="K16" s="11">
        <v>0</v>
      </c>
      <c r="L16" s="11">
        <v>0</v>
      </c>
      <c r="M16" s="11">
        <v>1006</v>
      </c>
      <c r="N16" s="35" t="s">
        <v>45</v>
      </c>
      <c r="O16" s="106">
        <v>874.5</v>
      </c>
      <c r="P16" s="58">
        <v>0.72384219554030871</v>
      </c>
      <c r="Q16" s="53">
        <v>0.69899730298052443</v>
      </c>
      <c r="R16" s="53">
        <v>0.60688848702167242</v>
      </c>
      <c r="S16" s="53">
        <v>0.43463750455981309</v>
      </c>
      <c r="T16" s="53">
        <v>0.6147016135917357</v>
      </c>
      <c r="U16" s="45">
        <v>0.65829472044788351</v>
      </c>
      <c r="V16" s="45">
        <v>0.78588385244056713</v>
      </c>
      <c r="W16" s="45">
        <v>0.77600904459949949</v>
      </c>
      <c r="X16" s="53">
        <v>0.71109800299589421</v>
      </c>
      <c r="Y16" s="53">
        <f>630/O16</f>
        <v>0.72041166380789023</v>
      </c>
      <c r="Z16" s="63">
        <v>0.66781696935309975</v>
      </c>
      <c r="AA16" s="61">
        <v>0.10760254299859195</v>
      </c>
      <c r="AB16" s="61">
        <v>0.69899730298052443</v>
      </c>
      <c r="AC16" s="61">
        <v>0.43463750455981309</v>
      </c>
      <c r="AD16" s="62">
        <v>0.78588385244056713</v>
      </c>
    </row>
    <row r="17" spans="1:30" x14ac:dyDescent="0.25">
      <c r="A17" s="49">
        <v>22</v>
      </c>
      <c r="B17" s="49">
        <v>101</v>
      </c>
      <c r="C17" s="10" t="s">
        <v>65</v>
      </c>
      <c r="D17" s="10" t="s">
        <v>42</v>
      </c>
      <c r="E17" s="10" t="s">
        <v>45</v>
      </c>
      <c r="F17" s="10" t="s">
        <v>117</v>
      </c>
      <c r="G17" s="50">
        <v>170</v>
      </c>
      <c r="H17" s="50">
        <v>75</v>
      </c>
      <c r="I17" s="50">
        <v>0</v>
      </c>
      <c r="J17" s="50">
        <v>0</v>
      </c>
      <c r="K17" s="50">
        <v>0</v>
      </c>
      <c r="L17" s="50">
        <v>0</v>
      </c>
      <c r="M17" s="56">
        <v>999</v>
      </c>
      <c r="N17" s="64" t="s">
        <v>45</v>
      </c>
      <c r="O17" s="107">
        <v>907.36</v>
      </c>
      <c r="P17" s="73">
        <v>0.92466055369423383</v>
      </c>
      <c r="Q17" s="71">
        <v>0.69208213702450228</v>
      </c>
      <c r="R17" s="71">
        <v>0.74864895702594214</v>
      </c>
      <c r="S17" s="71">
        <v>0.51863453898575829</v>
      </c>
      <c r="T17" s="71">
        <v>0.65896507674594318</v>
      </c>
      <c r="U17" s="71">
        <v>0.64492703609935764</v>
      </c>
      <c r="V17" s="71">
        <v>0.77582992397615558</v>
      </c>
      <c r="W17" s="71">
        <v>0.75401482975621781</v>
      </c>
      <c r="X17" s="28">
        <v>0.7259886171687181</v>
      </c>
      <c r="Y17" s="28">
        <f>793/O17</f>
        <v>0.87396402750837598</v>
      </c>
      <c r="Z17" s="73">
        <v>0.71597240783075877</v>
      </c>
      <c r="AA17" s="71">
        <v>0.11043053914516965</v>
      </c>
      <c r="AB17" s="71">
        <v>0.7259886171687181</v>
      </c>
      <c r="AC17" s="71">
        <v>0.51863453898575829</v>
      </c>
      <c r="AD17" s="72">
        <v>0.92466055369423383</v>
      </c>
    </row>
    <row r="18" spans="1:30" x14ac:dyDescent="0.25">
      <c r="A18" s="11">
        <v>23</v>
      </c>
      <c r="B18" s="11">
        <v>102</v>
      </c>
      <c r="C18" s="11" t="s">
        <v>65</v>
      </c>
      <c r="D18" s="11" t="s">
        <v>42</v>
      </c>
      <c r="E18" s="11" t="s">
        <v>45</v>
      </c>
      <c r="F18" s="11" t="s">
        <v>118</v>
      </c>
      <c r="G18" s="11">
        <v>170</v>
      </c>
      <c r="H18" s="11">
        <v>75</v>
      </c>
      <c r="I18" s="11">
        <v>0</v>
      </c>
      <c r="J18" s="11">
        <v>0</v>
      </c>
      <c r="K18" s="11">
        <v>0</v>
      </c>
      <c r="L18" s="11">
        <v>0</v>
      </c>
      <c r="M18" s="11">
        <v>1002</v>
      </c>
      <c r="N18" s="35" t="s">
        <v>45</v>
      </c>
      <c r="O18" s="106">
        <v>846.94</v>
      </c>
      <c r="P18" s="58">
        <v>0.80052896309065569</v>
      </c>
      <c r="Q18" s="53">
        <v>0.48238893429941004</v>
      </c>
      <c r="R18" s="53">
        <v>0.71630774701622135</v>
      </c>
      <c r="S18" s="53">
        <v>0.56631875817622712</v>
      </c>
      <c r="T18" s="53">
        <v>0.67877043008276683</v>
      </c>
      <c r="U18" s="45">
        <v>0.73955352925041717</v>
      </c>
      <c r="V18" s="45">
        <v>0.82836401409727667</v>
      </c>
      <c r="W18" s="45">
        <v>0.65353718956516005</v>
      </c>
      <c r="X18" s="53">
        <v>0.68575858985346971</v>
      </c>
      <c r="Y18" s="53">
        <f>755/O18</f>
        <v>0.89144449429711659</v>
      </c>
      <c r="Z18" s="44">
        <v>0.68350312838128935</v>
      </c>
      <c r="AA18" s="45">
        <v>0.1083985997093295</v>
      </c>
      <c r="AB18" s="45">
        <v>0.68575858985346971</v>
      </c>
      <c r="AC18" s="45">
        <v>0.48238893429941004</v>
      </c>
      <c r="AD18" s="46">
        <v>0.82836401409727667</v>
      </c>
    </row>
  </sheetData>
  <mergeCells count="3">
    <mergeCell ref="B1:M1"/>
    <mergeCell ref="P1:W1"/>
    <mergeCell ref="Z1:A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9"/>
  <sheetViews>
    <sheetView topLeftCell="F1" zoomScale="115" zoomScaleNormal="115" workbookViewId="0">
      <selection activeCell="Z25" sqref="Z25"/>
    </sheetView>
  </sheetViews>
  <sheetFormatPr defaultRowHeight="15" x14ac:dyDescent="0.25"/>
  <cols>
    <col min="3" max="3" width="23.85546875" bestFit="1" customWidth="1"/>
    <col min="4" max="4" width="11.7109375" bestFit="1" customWidth="1"/>
    <col min="5" max="5" width="14.7109375" bestFit="1" customWidth="1"/>
    <col min="6" max="6" width="22.28515625" customWidth="1"/>
    <col min="14" max="14" width="15.140625" bestFit="1" customWidth="1"/>
    <col min="15" max="15" width="17.28515625" bestFit="1" customWidth="1"/>
    <col min="30" max="30" width="22.85546875" bestFit="1" customWidth="1"/>
  </cols>
  <sheetData>
    <row r="1" spans="1:31" ht="18" customHeight="1" x14ac:dyDescent="0.25">
      <c r="B1" s="125" t="s">
        <v>39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6"/>
      <c r="N1" s="102" t="s">
        <v>136</v>
      </c>
      <c r="O1" s="103" t="s">
        <v>145</v>
      </c>
      <c r="P1" s="122" t="s">
        <v>143</v>
      </c>
      <c r="Q1" s="123"/>
      <c r="R1" s="123"/>
      <c r="S1" s="123"/>
      <c r="T1" s="123"/>
      <c r="U1" s="123"/>
      <c r="V1" s="123"/>
      <c r="W1" s="123"/>
      <c r="X1" s="119"/>
      <c r="Y1" s="122" t="s">
        <v>63</v>
      </c>
      <c r="Z1" s="123"/>
      <c r="AA1" s="123"/>
      <c r="AB1" s="123"/>
      <c r="AC1" s="124"/>
      <c r="AE1" s="76"/>
    </row>
    <row r="2" spans="1:31" ht="45" x14ac:dyDescent="0.25">
      <c r="A2" s="19" t="s">
        <v>47</v>
      </c>
      <c r="B2" s="20" t="s">
        <v>0</v>
      </c>
      <c r="C2" s="20" t="s">
        <v>21</v>
      </c>
      <c r="D2" s="20" t="s">
        <v>22</v>
      </c>
      <c r="E2" s="20" t="s">
        <v>43</v>
      </c>
      <c r="F2" s="20" t="s">
        <v>59</v>
      </c>
      <c r="G2" s="20" t="s">
        <v>23</v>
      </c>
      <c r="H2" s="20" t="s">
        <v>24</v>
      </c>
      <c r="I2" s="20" t="s">
        <v>2</v>
      </c>
      <c r="J2" s="20" t="s">
        <v>25</v>
      </c>
      <c r="K2" s="20" t="s">
        <v>26</v>
      </c>
      <c r="L2" s="20" t="s">
        <v>27</v>
      </c>
      <c r="M2" s="27" t="s">
        <v>28</v>
      </c>
      <c r="N2" s="20" t="s">
        <v>60</v>
      </c>
      <c r="O2" s="19"/>
      <c r="P2" s="21" t="s">
        <v>82</v>
      </c>
      <c r="Q2" s="101" t="s">
        <v>112</v>
      </c>
      <c r="R2" s="101" t="s">
        <v>115</v>
      </c>
      <c r="S2" s="101" t="s">
        <v>87</v>
      </c>
      <c r="T2" s="101" t="s">
        <v>62</v>
      </c>
      <c r="U2" s="101" t="s">
        <v>114</v>
      </c>
      <c r="V2" s="101" t="s">
        <v>95</v>
      </c>
      <c r="W2" s="101" t="s">
        <v>75</v>
      </c>
      <c r="X2" s="101" t="s">
        <v>147</v>
      </c>
      <c r="Y2" s="22" t="s">
        <v>35</v>
      </c>
      <c r="Z2" s="23" t="s">
        <v>71</v>
      </c>
      <c r="AA2" s="23" t="s">
        <v>36</v>
      </c>
      <c r="AB2" s="23" t="s">
        <v>37</v>
      </c>
      <c r="AC2" s="24" t="s">
        <v>38</v>
      </c>
      <c r="AD2" s="81" t="s">
        <v>76</v>
      </c>
      <c r="AE2" s="74" t="s">
        <v>73</v>
      </c>
    </row>
    <row r="3" spans="1:31" x14ac:dyDescent="0.25">
      <c r="A3" s="16">
        <v>1</v>
      </c>
      <c r="B3" s="10">
        <v>1</v>
      </c>
      <c r="C3" s="10" t="s">
        <v>5</v>
      </c>
      <c r="D3" s="10" t="s">
        <v>4</v>
      </c>
      <c r="E3" s="10" t="s">
        <v>45</v>
      </c>
      <c r="F3" s="10" t="s">
        <v>50</v>
      </c>
      <c r="G3" s="10" t="s">
        <v>45</v>
      </c>
      <c r="H3" s="10" t="s">
        <v>45</v>
      </c>
      <c r="I3" s="10">
        <v>80</v>
      </c>
      <c r="J3" s="10">
        <v>0</v>
      </c>
      <c r="K3" s="10">
        <v>0</v>
      </c>
      <c r="L3" s="66">
        <v>5.25</v>
      </c>
      <c r="M3" s="65">
        <v>494.07</v>
      </c>
      <c r="N3" s="34">
        <v>436.95000000000005</v>
      </c>
      <c r="O3" s="110"/>
      <c r="P3" s="30"/>
      <c r="Q3" s="25"/>
      <c r="R3" s="25"/>
      <c r="S3" s="25"/>
      <c r="T3" s="25"/>
      <c r="U3" s="25"/>
      <c r="V3" s="25"/>
      <c r="W3" s="25"/>
      <c r="X3" s="25"/>
      <c r="Y3" s="32"/>
      <c r="Z3" s="25"/>
      <c r="AA3" s="25"/>
      <c r="AB3" s="25"/>
      <c r="AC3" s="26"/>
      <c r="AD3" s="80">
        <v>0.84854292777535656</v>
      </c>
      <c r="AE3" s="75">
        <v>1.06</v>
      </c>
    </row>
    <row r="4" spans="1:31" x14ac:dyDescent="0.25">
      <c r="A4" s="17">
        <v>2</v>
      </c>
      <c r="B4" s="11">
        <v>2</v>
      </c>
      <c r="C4" s="11" t="s">
        <v>5</v>
      </c>
      <c r="D4" s="11" t="s">
        <v>4</v>
      </c>
      <c r="E4" s="11" t="s">
        <v>45</v>
      </c>
      <c r="F4" s="11" t="s">
        <v>51</v>
      </c>
      <c r="G4" s="11" t="s">
        <v>45</v>
      </c>
      <c r="H4" s="11" t="s">
        <v>45</v>
      </c>
      <c r="I4" s="11">
        <v>120</v>
      </c>
      <c r="J4" s="11">
        <v>0</v>
      </c>
      <c r="K4" s="11">
        <v>0</v>
      </c>
      <c r="L4" s="67">
        <v>7.2</v>
      </c>
      <c r="M4" s="39">
        <v>497.04</v>
      </c>
      <c r="N4" s="36">
        <v>540.70000000000005</v>
      </c>
      <c r="O4" s="111"/>
      <c r="P4" s="33"/>
      <c r="Q4" s="9"/>
      <c r="R4" s="9"/>
      <c r="S4" s="9"/>
      <c r="T4" s="9"/>
      <c r="U4" s="9"/>
      <c r="V4" s="9"/>
      <c r="W4" s="9"/>
      <c r="X4" s="9"/>
      <c r="Y4" s="17"/>
      <c r="Z4" s="11"/>
      <c r="AA4" s="11"/>
      <c r="AB4" s="11"/>
      <c r="AC4" s="13"/>
      <c r="AD4" s="80">
        <v>0.7828749091928543</v>
      </c>
    </row>
    <row r="5" spans="1:31" x14ac:dyDescent="0.25">
      <c r="A5" s="16">
        <v>3</v>
      </c>
      <c r="B5" s="10">
        <v>3</v>
      </c>
      <c r="C5" s="10" t="s">
        <v>5</v>
      </c>
      <c r="D5" s="10" t="s">
        <v>41</v>
      </c>
      <c r="E5" s="10" t="s">
        <v>45</v>
      </c>
      <c r="F5" s="10" t="s">
        <v>52</v>
      </c>
      <c r="G5" s="10" t="s">
        <v>45</v>
      </c>
      <c r="H5" s="10" t="s">
        <v>45</v>
      </c>
      <c r="I5" s="10">
        <v>80</v>
      </c>
      <c r="J5" s="10">
        <v>0</v>
      </c>
      <c r="K5" s="10">
        <v>0</v>
      </c>
      <c r="L5" s="66">
        <v>5.25</v>
      </c>
      <c r="M5" s="65">
        <v>463.90000000000003</v>
      </c>
      <c r="N5" s="37">
        <v>348.13</v>
      </c>
      <c r="O5" s="112"/>
      <c r="P5" s="31"/>
      <c r="Q5" s="10"/>
      <c r="R5" s="10"/>
      <c r="S5" s="10"/>
      <c r="T5" s="10"/>
      <c r="U5" s="10"/>
      <c r="V5" s="10"/>
      <c r="W5" s="10"/>
      <c r="X5" s="10"/>
      <c r="Y5" s="16"/>
      <c r="Z5" s="10"/>
      <c r="AA5" s="10"/>
      <c r="AB5" s="10"/>
      <c r="AC5" s="12"/>
    </row>
    <row r="6" spans="1:31" x14ac:dyDescent="0.25">
      <c r="A6" s="17">
        <v>4</v>
      </c>
      <c r="B6" s="11">
        <v>4</v>
      </c>
      <c r="C6" s="11" t="s">
        <v>5</v>
      </c>
      <c r="D6" s="11" t="s">
        <v>41</v>
      </c>
      <c r="E6" s="11" t="s">
        <v>45</v>
      </c>
      <c r="F6" s="11" t="s">
        <v>53</v>
      </c>
      <c r="G6" s="11" t="s">
        <v>45</v>
      </c>
      <c r="H6" s="11" t="s">
        <v>45</v>
      </c>
      <c r="I6" s="11">
        <v>120</v>
      </c>
      <c r="J6" s="11">
        <v>0</v>
      </c>
      <c r="K6" s="11">
        <v>0</v>
      </c>
      <c r="L6" s="67">
        <v>7.2</v>
      </c>
      <c r="M6" s="39">
        <v>520.5</v>
      </c>
      <c r="N6" s="36">
        <v>443.28</v>
      </c>
      <c r="O6" s="111"/>
      <c r="P6" s="33"/>
      <c r="Q6" s="9"/>
      <c r="R6" s="9"/>
      <c r="S6" s="9"/>
      <c r="T6" s="9"/>
      <c r="U6" s="9"/>
      <c r="V6" s="9"/>
      <c r="W6" s="9"/>
      <c r="X6" s="9"/>
      <c r="Y6" s="17"/>
      <c r="Z6" s="11"/>
      <c r="AA6" s="11"/>
      <c r="AB6" s="11"/>
      <c r="AC6" s="13"/>
    </row>
    <row r="7" spans="1:31" x14ac:dyDescent="0.25">
      <c r="A7" s="16">
        <v>10</v>
      </c>
      <c r="B7" s="10">
        <v>9</v>
      </c>
      <c r="C7" s="10" t="s">
        <v>5</v>
      </c>
      <c r="D7" s="10" t="s">
        <v>46</v>
      </c>
      <c r="E7" s="10">
        <v>10</v>
      </c>
      <c r="F7" s="10" t="s">
        <v>126</v>
      </c>
      <c r="G7" s="10">
        <v>140</v>
      </c>
      <c r="H7" s="10">
        <v>40</v>
      </c>
      <c r="I7" s="10">
        <v>74</v>
      </c>
      <c r="J7" s="10">
        <v>0</v>
      </c>
      <c r="K7" s="10">
        <v>0</v>
      </c>
      <c r="L7" s="66">
        <v>4.5999999999999996</v>
      </c>
      <c r="M7" s="65">
        <v>118.19</v>
      </c>
      <c r="N7" s="37">
        <v>90.89500000000001</v>
      </c>
      <c r="O7" s="113">
        <v>140.36923263873015</v>
      </c>
      <c r="P7" s="51">
        <v>0.94750108339128403</v>
      </c>
      <c r="Q7" s="28">
        <v>1.0482117965715694</v>
      </c>
      <c r="R7" s="28" t="s">
        <v>45</v>
      </c>
      <c r="S7" s="28"/>
      <c r="T7" s="28" t="s">
        <v>45</v>
      </c>
      <c r="U7" s="28">
        <v>0.91049067980383802</v>
      </c>
      <c r="V7" s="28">
        <v>1.0285578011235526</v>
      </c>
      <c r="W7" s="28">
        <v>0.94524223246810668</v>
      </c>
      <c r="X7" s="28">
        <f>124/O7</f>
        <v>0.88338446872570842</v>
      </c>
      <c r="Y7" s="40">
        <v>0.97600071867167004</v>
      </c>
      <c r="Z7" s="28">
        <v>5.9216901228521725E-2</v>
      </c>
      <c r="AA7" s="28">
        <v>0.94750108339128403</v>
      </c>
      <c r="AB7" s="28">
        <v>0.91049067980383802</v>
      </c>
      <c r="AC7" s="29">
        <v>1.0482117965715694</v>
      </c>
    </row>
    <row r="8" spans="1:31" x14ac:dyDescent="0.25">
      <c r="A8" s="17">
        <v>8</v>
      </c>
      <c r="B8" s="11">
        <v>8</v>
      </c>
      <c r="C8" s="11" t="s">
        <v>5</v>
      </c>
      <c r="D8" s="11" t="s">
        <v>46</v>
      </c>
      <c r="E8" s="11">
        <v>15</v>
      </c>
      <c r="F8" s="11" t="s">
        <v>127</v>
      </c>
      <c r="G8" s="11">
        <v>150</v>
      </c>
      <c r="H8" s="11">
        <v>55</v>
      </c>
      <c r="I8" s="11">
        <v>74</v>
      </c>
      <c r="J8" s="11">
        <v>0</v>
      </c>
      <c r="K8" s="11">
        <v>0</v>
      </c>
      <c r="L8" s="67">
        <v>4.7</v>
      </c>
      <c r="M8" s="39">
        <v>193.34</v>
      </c>
      <c r="N8" s="36">
        <v>151.68600000000004</v>
      </c>
      <c r="O8" s="35">
        <v>235.78085592448357</v>
      </c>
      <c r="P8" s="52">
        <v>0.86096896715404792</v>
      </c>
      <c r="Q8" s="53">
        <v>1.0201714500106214</v>
      </c>
      <c r="R8" s="53" t="s">
        <v>45</v>
      </c>
      <c r="S8" s="53"/>
      <c r="T8" s="53" t="s">
        <v>45</v>
      </c>
      <c r="U8" s="53">
        <v>0.84824528783650055</v>
      </c>
      <c r="V8" s="53">
        <v>1.0025880488295236</v>
      </c>
      <c r="W8" s="53">
        <v>0.92272536189043708</v>
      </c>
      <c r="X8" s="53">
        <f>202/O8</f>
        <v>0.85672774071486535</v>
      </c>
      <c r="Y8" s="44">
        <v>0.9309398231442263</v>
      </c>
      <c r="Z8" s="45">
        <v>7.8894764890523369E-2</v>
      </c>
      <c r="AA8" s="45">
        <v>0.92272536189043708</v>
      </c>
      <c r="AB8" s="45">
        <v>0.84824528783650055</v>
      </c>
      <c r="AC8" s="46">
        <v>1.0201714500106214</v>
      </c>
    </row>
    <row r="9" spans="1:31" x14ac:dyDescent="0.25">
      <c r="A9" s="16">
        <v>7</v>
      </c>
      <c r="B9" s="10">
        <v>5</v>
      </c>
      <c r="C9" s="10" t="s">
        <v>5</v>
      </c>
      <c r="D9" s="10" t="s">
        <v>46</v>
      </c>
      <c r="E9" s="10">
        <v>20</v>
      </c>
      <c r="F9" s="10" t="s">
        <v>128</v>
      </c>
      <c r="G9" s="10">
        <v>170</v>
      </c>
      <c r="H9" s="10">
        <v>66</v>
      </c>
      <c r="I9" s="10">
        <v>83</v>
      </c>
      <c r="J9" s="10">
        <v>0</v>
      </c>
      <c r="K9" s="10">
        <v>0</v>
      </c>
      <c r="L9" s="66">
        <v>7.15</v>
      </c>
      <c r="M9" s="65">
        <v>430.9</v>
      </c>
      <c r="N9" s="37">
        <v>359.78520000000003</v>
      </c>
      <c r="O9" s="113">
        <v>564.54576333373257</v>
      </c>
      <c r="P9" s="51">
        <v>0.81835704030762091</v>
      </c>
      <c r="Q9" s="28">
        <v>0.96194672964081485</v>
      </c>
      <c r="R9" s="28" t="s">
        <v>45</v>
      </c>
      <c r="S9" s="28"/>
      <c r="T9" s="28" t="s">
        <v>45</v>
      </c>
      <c r="U9" s="28">
        <v>0.82431909666716341</v>
      </c>
      <c r="V9" s="28">
        <v>0.93348373512342553</v>
      </c>
      <c r="W9" s="28">
        <v>0.88307559412352299</v>
      </c>
      <c r="X9" s="28">
        <f>456/O9</f>
        <v>0.80772902679713232</v>
      </c>
      <c r="Y9" s="40">
        <v>0.88423643917250949</v>
      </c>
      <c r="Z9" s="28">
        <v>6.4022878902926753E-2</v>
      </c>
      <c r="AA9" s="28">
        <v>0.88307559412352299</v>
      </c>
      <c r="AB9" s="28">
        <v>0.81835704030762091</v>
      </c>
      <c r="AC9" s="29">
        <v>0.96194672964081485</v>
      </c>
    </row>
    <row r="10" spans="1:31" x14ac:dyDescent="0.25">
      <c r="A10" s="17" t="s">
        <v>68</v>
      </c>
      <c r="B10" s="11">
        <v>6</v>
      </c>
      <c r="C10" s="11" t="s">
        <v>5</v>
      </c>
      <c r="D10" s="11" t="s">
        <v>46</v>
      </c>
      <c r="E10" s="11">
        <v>25</v>
      </c>
      <c r="F10" s="11" t="s">
        <v>129</v>
      </c>
      <c r="G10" s="11">
        <v>170</v>
      </c>
      <c r="H10" s="11">
        <v>66</v>
      </c>
      <c r="I10" s="11">
        <v>105</v>
      </c>
      <c r="J10" s="11">
        <v>7.6</v>
      </c>
      <c r="K10" s="11">
        <v>0</v>
      </c>
      <c r="L10" s="67">
        <v>6.34</v>
      </c>
      <c r="M10" s="39">
        <v>264.31</v>
      </c>
      <c r="N10" s="36">
        <v>250.52040000000002</v>
      </c>
      <c r="O10" s="35">
        <v>371.83763619359706</v>
      </c>
      <c r="P10" s="52">
        <v>1.4145959117654738</v>
      </c>
      <c r="Q10" s="53">
        <v>0.99950261561312737</v>
      </c>
      <c r="R10" s="53" t="s">
        <v>45</v>
      </c>
      <c r="S10" s="53"/>
      <c r="T10" s="53" t="s">
        <v>45</v>
      </c>
      <c r="U10" s="53">
        <v>0.84747190856023014</v>
      </c>
      <c r="V10" s="53">
        <v>0.99058016056793208</v>
      </c>
      <c r="W10" s="53">
        <v>0.92618446972681512</v>
      </c>
      <c r="X10" s="53">
        <f>367/O10</f>
        <v>0.98698992322800172</v>
      </c>
      <c r="Y10" s="44">
        <v>1.0356670132467156</v>
      </c>
      <c r="Z10" s="45">
        <v>0.2204153028018144</v>
      </c>
      <c r="AA10" s="45">
        <v>0.99058016056793208</v>
      </c>
      <c r="AB10" s="45">
        <v>0.84747190856023014</v>
      </c>
      <c r="AC10" s="46">
        <v>1.4145959117654738</v>
      </c>
    </row>
    <row r="11" spans="1:31" x14ac:dyDescent="0.25">
      <c r="A11" s="16">
        <v>6</v>
      </c>
      <c r="B11" s="10">
        <v>7</v>
      </c>
      <c r="C11" s="10" t="s">
        <v>5</v>
      </c>
      <c r="D11" s="10" t="s">
        <v>46</v>
      </c>
      <c r="E11" s="10">
        <v>30</v>
      </c>
      <c r="F11" s="10" t="s">
        <v>130</v>
      </c>
      <c r="G11" s="10">
        <v>170</v>
      </c>
      <c r="H11" s="10">
        <v>70</v>
      </c>
      <c r="I11" s="10">
        <v>125</v>
      </c>
      <c r="J11" s="10">
        <v>0</v>
      </c>
      <c r="K11" s="10">
        <v>0</v>
      </c>
      <c r="L11" s="66">
        <v>7.15</v>
      </c>
      <c r="M11" s="65">
        <v>382.12</v>
      </c>
      <c r="N11" s="37">
        <v>356.47800000000001</v>
      </c>
      <c r="O11" s="113">
        <v>543.52629506966764</v>
      </c>
      <c r="P11" s="51">
        <v>1.5509829195879965</v>
      </c>
      <c r="Q11" s="28">
        <v>0.89511416229309326</v>
      </c>
      <c r="R11" s="28" t="s">
        <v>45</v>
      </c>
      <c r="S11" s="28"/>
      <c r="T11" s="28" t="s">
        <v>45</v>
      </c>
      <c r="U11" s="28">
        <v>0.75029466237049169</v>
      </c>
      <c r="V11" s="28">
        <v>0.88050929543456258</v>
      </c>
      <c r="W11" s="28">
        <v>0.8310680111902814</v>
      </c>
      <c r="X11" s="28">
        <f>519/O11</f>
        <v>0.95487560529794802</v>
      </c>
      <c r="Y11" s="40">
        <v>0.98159381017528502</v>
      </c>
      <c r="Z11" s="28">
        <v>0.32328705451629736</v>
      </c>
      <c r="AA11" s="28">
        <v>0.88050929543456258</v>
      </c>
      <c r="AB11" s="28">
        <v>0.75029466237049169</v>
      </c>
      <c r="AC11" s="29">
        <v>1.5509829195879965</v>
      </c>
    </row>
    <row r="12" spans="1:31" x14ac:dyDescent="0.25">
      <c r="A12" s="17">
        <v>11</v>
      </c>
      <c r="B12" s="11">
        <v>10</v>
      </c>
      <c r="C12" s="11" t="s">
        <v>5</v>
      </c>
      <c r="D12" s="11" t="s">
        <v>42</v>
      </c>
      <c r="E12" s="11" t="s">
        <v>45</v>
      </c>
      <c r="F12" s="11" t="s">
        <v>5</v>
      </c>
      <c r="G12" s="11">
        <v>175</v>
      </c>
      <c r="H12" s="11">
        <v>70</v>
      </c>
      <c r="I12" s="11">
        <v>75</v>
      </c>
      <c r="J12" s="11">
        <v>0</v>
      </c>
      <c r="K12" s="11">
        <v>0</v>
      </c>
      <c r="L12" s="67">
        <v>0</v>
      </c>
      <c r="M12" s="39">
        <v>519.77</v>
      </c>
      <c r="N12" s="36" t="s">
        <v>45</v>
      </c>
      <c r="O12" s="35">
        <v>442.26233383412369</v>
      </c>
      <c r="P12" s="52">
        <v>1.1147230100425105</v>
      </c>
      <c r="Q12" s="53">
        <v>1.2826170267209704</v>
      </c>
      <c r="R12" s="53" t="s">
        <v>45</v>
      </c>
      <c r="S12" s="53"/>
      <c r="T12" s="53" t="s">
        <v>45</v>
      </c>
      <c r="U12" s="53">
        <v>1.0941525018178109</v>
      </c>
      <c r="V12" s="53">
        <v>1.2325152550187028</v>
      </c>
      <c r="W12" s="53">
        <v>1.1823906068031182</v>
      </c>
      <c r="X12" s="53">
        <f>508/O12</f>
        <v>1.1486395316462381</v>
      </c>
      <c r="Y12" s="44">
        <v>1.1812796800806225</v>
      </c>
      <c r="Z12" s="45">
        <v>7.8924824421924292E-2</v>
      </c>
      <c r="AA12" s="45">
        <v>1.1823906068031182</v>
      </c>
      <c r="AB12" s="45">
        <v>1.0941525018178109</v>
      </c>
      <c r="AC12" s="46">
        <v>1.2826170267209704</v>
      </c>
    </row>
    <row r="13" spans="1:31" x14ac:dyDescent="0.25">
      <c r="A13" s="16">
        <v>15</v>
      </c>
      <c r="B13" s="10">
        <v>11</v>
      </c>
      <c r="C13" s="10" t="s">
        <v>16</v>
      </c>
      <c r="D13" s="10" t="s">
        <v>42</v>
      </c>
      <c r="E13" s="10" t="s">
        <v>45</v>
      </c>
      <c r="F13" s="10" t="s">
        <v>84</v>
      </c>
      <c r="G13" s="10">
        <v>190</v>
      </c>
      <c r="H13" s="10">
        <v>85</v>
      </c>
      <c r="I13" s="10">
        <v>74</v>
      </c>
      <c r="J13" s="10">
        <v>0</v>
      </c>
      <c r="K13" s="10">
        <v>0</v>
      </c>
      <c r="L13" s="66">
        <v>0</v>
      </c>
      <c r="M13" s="65">
        <v>1052.9100000000001</v>
      </c>
      <c r="N13" s="37" t="s">
        <v>45</v>
      </c>
      <c r="O13" s="113">
        <v>1343.9509462951341</v>
      </c>
      <c r="P13" s="51">
        <v>1.0588184069684836</v>
      </c>
      <c r="Q13" s="28">
        <v>0.8460123436889917</v>
      </c>
      <c r="R13" s="28" t="s">
        <v>45</v>
      </c>
      <c r="S13" s="28"/>
      <c r="T13" s="28" t="s">
        <v>45</v>
      </c>
      <c r="U13" s="28">
        <v>0.72084512494709174</v>
      </c>
      <c r="V13" s="28">
        <v>0.7953268460159596</v>
      </c>
      <c r="W13" s="28">
        <v>0.77020813451043735</v>
      </c>
      <c r="X13" s="28">
        <f>1090/O13</f>
        <v>0.81104150639188133</v>
      </c>
      <c r="Y13" s="40">
        <v>0.83824217122619282</v>
      </c>
      <c r="Z13" s="28">
        <v>0.13130753321795541</v>
      </c>
      <c r="AA13" s="28">
        <v>0.7953268460159596</v>
      </c>
      <c r="AB13" s="28">
        <v>0.72084512494709174</v>
      </c>
      <c r="AC13" s="29">
        <v>1.0588184069684836</v>
      </c>
    </row>
    <row r="14" spans="1:31" x14ac:dyDescent="0.25">
      <c r="A14" s="17">
        <v>16</v>
      </c>
      <c r="B14" s="11">
        <v>12</v>
      </c>
      <c r="C14" s="11" t="s">
        <v>17</v>
      </c>
      <c r="D14" s="11" t="s">
        <v>42</v>
      </c>
      <c r="E14" s="11" t="s">
        <v>45</v>
      </c>
      <c r="F14" s="11" t="s">
        <v>85</v>
      </c>
      <c r="G14" s="11">
        <v>190</v>
      </c>
      <c r="H14" s="11">
        <v>85</v>
      </c>
      <c r="I14" s="11">
        <v>0</v>
      </c>
      <c r="J14" s="11">
        <v>0</v>
      </c>
      <c r="K14" s="11">
        <v>0</v>
      </c>
      <c r="L14" s="67">
        <v>0</v>
      </c>
      <c r="M14" s="39">
        <v>1315.85</v>
      </c>
      <c r="N14" s="36" t="s">
        <v>45</v>
      </c>
      <c r="O14" s="35">
        <v>1924.0003818666301</v>
      </c>
      <c r="P14" s="52">
        <v>1.3357585706436466</v>
      </c>
      <c r="Q14" s="53">
        <v>0.71640144049423904</v>
      </c>
      <c r="R14" s="53" t="s">
        <v>45</v>
      </c>
      <c r="S14" s="53"/>
      <c r="T14" s="53" t="s">
        <v>45</v>
      </c>
      <c r="U14" s="53">
        <v>0.61305195479099128</v>
      </c>
      <c r="V14" s="53">
        <v>0.67649080331246148</v>
      </c>
      <c r="W14" s="53">
        <v>0.65513906169558378</v>
      </c>
      <c r="X14" s="53">
        <f>1380/O14</f>
        <v>0.71725557489814484</v>
      </c>
      <c r="Y14" s="44">
        <v>0.79936836618738438</v>
      </c>
      <c r="Z14" s="45">
        <v>0.30216417519433952</v>
      </c>
      <c r="AA14" s="45">
        <v>0.67649080331246148</v>
      </c>
      <c r="AB14" s="45">
        <v>0.61305195479099128</v>
      </c>
      <c r="AC14" s="46">
        <v>1.3357585706436466</v>
      </c>
    </row>
    <row r="15" spans="1:31" x14ac:dyDescent="0.25">
      <c r="A15" s="18">
        <v>17</v>
      </c>
      <c r="B15" s="14">
        <v>13</v>
      </c>
      <c r="C15" s="14" t="s">
        <v>40</v>
      </c>
      <c r="D15" s="14" t="s">
        <v>42</v>
      </c>
      <c r="E15" s="14" t="s">
        <v>45</v>
      </c>
      <c r="F15" s="14" t="s">
        <v>86</v>
      </c>
      <c r="G15" s="14">
        <v>190</v>
      </c>
      <c r="H15" s="14">
        <v>85</v>
      </c>
      <c r="I15" s="14">
        <v>73</v>
      </c>
      <c r="J15" s="14">
        <v>0</v>
      </c>
      <c r="K15" s="14">
        <v>0</v>
      </c>
      <c r="L15" s="68">
        <v>0</v>
      </c>
      <c r="M15" s="69">
        <v>369.49</v>
      </c>
      <c r="N15" s="38" t="s">
        <v>45</v>
      </c>
      <c r="O15" s="114">
        <v>704.39510163338332</v>
      </c>
      <c r="P15" s="54">
        <v>1.6084722868923254</v>
      </c>
      <c r="Q15" s="42">
        <v>0.85877681152030116</v>
      </c>
      <c r="R15" s="42" t="s">
        <v>45</v>
      </c>
      <c r="S15" s="42"/>
      <c r="T15" s="42" t="s">
        <v>45</v>
      </c>
      <c r="U15" s="42" t="s">
        <v>45</v>
      </c>
      <c r="V15" s="42" t="s">
        <v>45</v>
      </c>
      <c r="W15" s="42">
        <v>0.61633923980546779</v>
      </c>
      <c r="X15" s="42">
        <f>489/O15</f>
        <v>0.69421266398088888</v>
      </c>
      <c r="Y15" s="41">
        <v>1.0278627794060313</v>
      </c>
      <c r="Z15" s="42">
        <v>0.51722774885185152</v>
      </c>
      <c r="AA15" s="42">
        <v>0.85877681152030116</v>
      </c>
      <c r="AB15" s="42">
        <v>0.61633923980546779</v>
      </c>
      <c r="AC15" s="43">
        <v>1.6084722868923254</v>
      </c>
    </row>
    <row r="16" spans="1:31" x14ac:dyDescent="0.25">
      <c r="A16" s="57"/>
      <c r="B16" s="127" t="s">
        <v>39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8"/>
      <c r="N16" s="102" t="s">
        <v>136</v>
      </c>
      <c r="O16" s="103" t="s">
        <v>145</v>
      </c>
      <c r="P16" s="122" t="s">
        <v>66</v>
      </c>
      <c r="Q16" s="123"/>
      <c r="R16" s="123"/>
      <c r="S16" s="123"/>
      <c r="T16" s="123"/>
      <c r="U16" s="123"/>
      <c r="V16" s="123"/>
      <c r="W16" s="124"/>
      <c r="X16" s="119"/>
      <c r="Y16" s="122" t="s">
        <v>67</v>
      </c>
      <c r="Z16" s="123"/>
      <c r="AA16" s="123"/>
      <c r="AB16" s="123"/>
      <c r="AC16" s="124"/>
    </row>
    <row r="17" spans="1:29" x14ac:dyDescent="0.25">
      <c r="A17" s="11">
        <v>20</v>
      </c>
      <c r="B17" s="11">
        <v>100</v>
      </c>
      <c r="C17" s="11" t="s">
        <v>65</v>
      </c>
      <c r="D17" s="11" t="s">
        <v>42</v>
      </c>
      <c r="E17" s="11" t="s">
        <v>45</v>
      </c>
      <c r="F17" s="11" t="s">
        <v>116</v>
      </c>
      <c r="G17" s="11">
        <v>175</v>
      </c>
      <c r="H17" s="11">
        <v>75</v>
      </c>
      <c r="I17" s="11">
        <v>0</v>
      </c>
      <c r="J17" s="11">
        <v>0</v>
      </c>
      <c r="K17" s="11">
        <v>0</v>
      </c>
      <c r="L17" s="11">
        <v>0</v>
      </c>
      <c r="M17" s="11">
        <v>999.97900000000004</v>
      </c>
      <c r="N17" s="35" t="s">
        <v>45</v>
      </c>
      <c r="O17" s="35">
        <v>1039.8600000000001</v>
      </c>
      <c r="P17" s="59">
        <v>0.84530609889792852</v>
      </c>
      <c r="Q17" s="60">
        <v>0.81155339368171542</v>
      </c>
      <c r="R17" s="60" t="s">
        <v>45</v>
      </c>
      <c r="S17" s="60">
        <v>1.0938078788766099</v>
      </c>
      <c r="T17" s="60" t="s">
        <v>45</v>
      </c>
      <c r="U17" s="61">
        <v>0.72992940419277819</v>
      </c>
      <c r="V17" s="61">
        <v>0.82760065074426059</v>
      </c>
      <c r="W17" s="62">
        <v>0.74118795541426064</v>
      </c>
      <c r="X17" s="61">
        <f>743/O17</f>
        <v>0.71451926220837414</v>
      </c>
      <c r="Y17" s="63">
        <v>0.84156423030125893</v>
      </c>
      <c r="Z17" s="61">
        <v>0.13211678368497329</v>
      </c>
      <c r="AA17" s="61">
        <v>0.819577022212988</v>
      </c>
      <c r="AB17" s="61">
        <v>0.72992940419277819</v>
      </c>
      <c r="AC17" s="62">
        <v>1.0938078788766099</v>
      </c>
    </row>
    <row r="18" spans="1:29" x14ac:dyDescent="0.25">
      <c r="A18" s="49">
        <v>21</v>
      </c>
      <c r="B18" s="49">
        <v>101</v>
      </c>
      <c r="C18" s="10" t="s">
        <v>65</v>
      </c>
      <c r="D18" s="10" t="s">
        <v>42</v>
      </c>
      <c r="E18" s="10" t="s">
        <v>45</v>
      </c>
      <c r="F18" s="10" t="s">
        <v>117</v>
      </c>
      <c r="G18" s="50">
        <v>175</v>
      </c>
      <c r="H18" s="50">
        <v>75</v>
      </c>
      <c r="I18" s="50">
        <v>0</v>
      </c>
      <c r="J18" s="50">
        <v>0</v>
      </c>
      <c r="K18" s="50">
        <v>0</v>
      </c>
      <c r="L18" s="50">
        <v>0</v>
      </c>
      <c r="M18" s="56">
        <v>1001.454</v>
      </c>
      <c r="N18" s="64" t="s">
        <v>45</v>
      </c>
      <c r="O18" s="115">
        <v>1066.3600000000001</v>
      </c>
      <c r="P18" s="73">
        <v>0.84305487827750469</v>
      </c>
      <c r="Q18" s="71">
        <v>0.83679556383934683</v>
      </c>
      <c r="R18" s="71" t="s">
        <v>45</v>
      </c>
      <c r="S18" s="71">
        <v>0.9565974188962646</v>
      </c>
      <c r="T18" s="71" t="s">
        <v>45</v>
      </c>
      <c r="U18" s="71">
        <v>0.74015181803792984</v>
      </c>
      <c r="V18" s="71">
        <v>0.78945877885013893</v>
      </c>
      <c r="W18" s="72">
        <v>0.79138606007763812</v>
      </c>
      <c r="X18" s="71">
        <f>796/O18</f>
        <v>0.74646460857496522</v>
      </c>
      <c r="Y18" s="73">
        <v>0.82624075299647048</v>
      </c>
      <c r="Z18" s="71">
        <v>7.3981142392192223E-2</v>
      </c>
      <c r="AA18" s="71">
        <v>0.81409081195849242</v>
      </c>
      <c r="AB18" s="71">
        <v>0.74015181803792984</v>
      </c>
      <c r="AC18" s="72">
        <v>0.9565974188962646</v>
      </c>
    </row>
    <row r="19" spans="1:29" x14ac:dyDescent="0.25">
      <c r="A19" s="11">
        <v>22</v>
      </c>
      <c r="B19" s="11">
        <v>102</v>
      </c>
      <c r="C19" s="11" t="s">
        <v>65</v>
      </c>
      <c r="D19" s="11" t="s">
        <v>42</v>
      </c>
      <c r="E19" s="11" t="s">
        <v>45</v>
      </c>
      <c r="F19" s="11" t="s">
        <v>118</v>
      </c>
      <c r="G19" s="11">
        <v>175</v>
      </c>
      <c r="H19" s="11">
        <v>75</v>
      </c>
      <c r="I19" s="11">
        <v>0</v>
      </c>
      <c r="J19" s="11">
        <v>0</v>
      </c>
      <c r="K19" s="11">
        <v>0</v>
      </c>
      <c r="L19" s="11">
        <v>0</v>
      </c>
      <c r="M19" s="11">
        <v>999.94500000000005</v>
      </c>
      <c r="N19" s="35" t="s">
        <v>45</v>
      </c>
      <c r="O19" s="35">
        <v>969.90000000000009</v>
      </c>
      <c r="P19" s="58">
        <v>0.71553768429735021</v>
      </c>
      <c r="Q19" s="53">
        <v>0.72292443856354505</v>
      </c>
      <c r="R19" s="53" t="s">
        <v>45</v>
      </c>
      <c r="S19" s="53">
        <v>0.8374532540081131</v>
      </c>
      <c r="T19" s="53" t="s">
        <v>45</v>
      </c>
      <c r="U19" s="45">
        <v>0.83186851045745225</v>
      </c>
      <c r="V19" s="45">
        <v>0.86158053910511267</v>
      </c>
      <c r="W19" s="46">
        <v>0.88115697117379466</v>
      </c>
      <c r="X19" s="45">
        <f>755/O19</f>
        <v>0.77843076605835648</v>
      </c>
      <c r="Y19" s="44">
        <v>0.80842023293422793</v>
      </c>
      <c r="Z19" s="45">
        <v>7.1338752399733363E-2</v>
      </c>
      <c r="AA19" s="45">
        <v>0.83466088223278267</v>
      </c>
      <c r="AB19" s="45">
        <v>0.71553768429735021</v>
      </c>
      <c r="AC19" s="46">
        <v>0.88115697117379466</v>
      </c>
    </row>
  </sheetData>
  <mergeCells count="6">
    <mergeCell ref="B16:M16"/>
    <mergeCell ref="P16:W16"/>
    <mergeCell ref="Y16:AC16"/>
    <mergeCell ref="B1:M1"/>
    <mergeCell ref="P1:W1"/>
    <mergeCell ref="Y1:A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9"/>
  <sheetViews>
    <sheetView tabSelected="1" topLeftCell="E1" zoomScale="115" zoomScaleNormal="115" workbookViewId="0">
      <selection activeCell="Y17" sqref="Y17:Y19"/>
    </sheetView>
  </sheetViews>
  <sheetFormatPr defaultRowHeight="15" x14ac:dyDescent="0.25"/>
  <cols>
    <col min="3" max="3" width="23.85546875" bestFit="1" customWidth="1"/>
    <col min="4" max="4" width="11.7109375" bestFit="1" customWidth="1"/>
    <col min="5" max="5" width="9.42578125" customWidth="1"/>
    <col min="6" max="6" width="11.140625" customWidth="1"/>
    <col min="14" max="14" width="15.140625" bestFit="1" customWidth="1"/>
    <col min="15" max="15" width="17.28515625" bestFit="1" customWidth="1"/>
    <col min="18" max="18" width="12.85546875" customWidth="1"/>
  </cols>
  <sheetData>
    <row r="1" spans="1:32" ht="18" customHeight="1" x14ac:dyDescent="0.25">
      <c r="B1" s="125" t="s">
        <v>39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6"/>
      <c r="N1" s="102" t="s">
        <v>136</v>
      </c>
      <c r="O1" s="103" t="s">
        <v>145</v>
      </c>
      <c r="P1" s="122" t="s">
        <v>143</v>
      </c>
      <c r="Q1" s="123"/>
      <c r="R1" s="123"/>
      <c r="S1" s="123"/>
      <c r="T1" s="123"/>
      <c r="U1" s="123"/>
      <c r="V1" s="123"/>
      <c r="W1" s="123"/>
      <c r="X1" s="79"/>
      <c r="Y1" s="119"/>
      <c r="Z1" s="122" t="s">
        <v>63</v>
      </c>
      <c r="AA1" s="123"/>
      <c r="AB1" s="123"/>
      <c r="AC1" s="123"/>
      <c r="AD1" s="124"/>
    </row>
    <row r="2" spans="1:32" ht="45" x14ac:dyDescent="0.25">
      <c r="A2" s="19" t="s">
        <v>47</v>
      </c>
      <c r="B2" s="20" t="s">
        <v>0</v>
      </c>
      <c r="C2" s="20" t="s">
        <v>21</v>
      </c>
      <c r="D2" s="20" t="s">
        <v>22</v>
      </c>
      <c r="E2" s="20" t="s">
        <v>43</v>
      </c>
      <c r="F2" s="20" t="s">
        <v>59</v>
      </c>
      <c r="G2" s="20" t="s">
        <v>23</v>
      </c>
      <c r="H2" s="20" t="s">
        <v>24</v>
      </c>
      <c r="I2" s="20" t="s">
        <v>2</v>
      </c>
      <c r="J2" s="20" t="s">
        <v>25</v>
      </c>
      <c r="K2" s="20" t="s">
        <v>26</v>
      </c>
      <c r="L2" s="20" t="s">
        <v>27</v>
      </c>
      <c r="M2" s="27" t="s">
        <v>28</v>
      </c>
      <c r="N2" s="20" t="s">
        <v>60</v>
      </c>
      <c r="O2" s="19"/>
      <c r="P2" s="21" t="s">
        <v>61</v>
      </c>
      <c r="Q2" s="83" t="s">
        <v>112</v>
      </c>
      <c r="R2" s="83" t="s">
        <v>79</v>
      </c>
      <c r="S2" s="83" t="s">
        <v>87</v>
      </c>
      <c r="T2" s="83" t="s">
        <v>62</v>
      </c>
      <c r="U2" s="83" t="s">
        <v>114</v>
      </c>
      <c r="V2" s="83" t="s">
        <v>95</v>
      </c>
      <c r="W2" s="83" t="s">
        <v>75</v>
      </c>
      <c r="X2" s="83" t="s">
        <v>80</v>
      </c>
      <c r="Y2" s="83" t="s">
        <v>147</v>
      </c>
      <c r="Z2" s="22" t="s">
        <v>35</v>
      </c>
      <c r="AA2" s="23" t="s">
        <v>70</v>
      </c>
      <c r="AB2" s="23" t="s">
        <v>36</v>
      </c>
      <c r="AC2" s="23" t="s">
        <v>37</v>
      </c>
      <c r="AD2" s="24" t="s">
        <v>38</v>
      </c>
      <c r="AE2" s="81" t="s">
        <v>76</v>
      </c>
      <c r="AF2" s="74" t="s">
        <v>73</v>
      </c>
    </row>
    <row r="3" spans="1:32" x14ac:dyDescent="0.25">
      <c r="A3" s="16">
        <v>1</v>
      </c>
      <c r="B3" s="10">
        <v>1</v>
      </c>
      <c r="C3" s="10" t="s">
        <v>5</v>
      </c>
      <c r="D3" s="10" t="s">
        <v>4</v>
      </c>
      <c r="E3" s="10" t="s">
        <v>45</v>
      </c>
      <c r="F3" s="10" t="s">
        <v>50</v>
      </c>
      <c r="G3" s="10" t="s">
        <v>45</v>
      </c>
      <c r="H3" s="10" t="s">
        <v>45</v>
      </c>
      <c r="I3" s="10">
        <v>68</v>
      </c>
      <c r="J3" s="10">
        <v>68.2</v>
      </c>
      <c r="K3" s="10">
        <v>0</v>
      </c>
      <c r="L3" s="66">
        <v>4.32</v>
      </c>
      <c r="M3" s="65">
        <v>114</v>
      </c>
      <c r="N3" s="34">
        <v>98.929999999999993</v>
      </c>
      <c r="O3" s="110"/>
      <c r="P3" s="30"/>
      <c r="Q3" s="25"/>
      <c r="R3" s="25"/>
      <c r="S3" s="25"/>
      <c r="T3" s="25"/>
      <c r="U3" s="25"/>
      <c r="V3" s="25"/>
      <c r="W3" s="25"/>
      <c r="X3" s="25"/>
      <c r="Y3" s="25"/>
      <c r="Z3" s="32"/>
      <c r="AA3" s="25"/>
      <c r="AB3" s="25"/>
      <c r="AC3" s="25"/>
      <c r="AD3" s="26"/>
      <c r="AE3" s="80">
        <v>0.88631333997174022</v>
      </c>
      <c r="AF3" s="75">
        <v>1.06</v>
      </c>
    </row>
    <row r="4" spans="1:32" x14ac:dyDescent="0.25">
      <c r="A4" s="17">
        <v>2</v>
      </c>
      <c r="B4" s="11">
        <v>2</v>
      </c>
      <c r="C4" s="11" t="s">
        <v>5</v>
      </c>
      <c r="D4" s="11" t="s">
        <v>4</v>
      </c>
      <c r="E4" s="11" t="s">
        <v>45</v>
      </c>
      <c r="F4" s="11" t="s">
        <v>51</v>
      </c>
      <c r="G4" s="11" t="s">
        <v>45</v>
      </c>
      <c r="H4" s="11" t="s">
        <v>45</v>
      </c>
      <c r="I4" s="11">
        <v>125</v>
      </c>
      <c r="J4" s="11">
        <v>131</v>
      </c>
      <c r="K4" s="11">
        <v>0</v>
      </c>
      <c r="L4" s="67">
        <v>7.61</v>
      </c>
      <c r="M4" s="39">
        <v>213</v>
      </c>
      <c r="N4" s="36">
        <v>199.6</v>
      </c>
      <c r="O4" s="111"/>
      <c r="P4" s="33"/>
      <c r="Q4" s="9"/>
      <c r="R4" s="9"/>
      <c r="S4" s="9"/>
      <c r="T4" s="9"/>
      <c r="U4" s="9"/>
      <c r="V4" s="9"/>
      <c r="W4" s="9"/>
      <c r="X4" s="9"/>
      <c r="Y4" s="9"/>
      <c r="Z4" s="17"/>
      <c r="AA4" s="11"/>
      <c r="AB4" s="11"/>
      <c r="AC4" s="11"/>
      <c r="AD4" s="13"/>
      <c r="AE4" s="80">
        <v>0.89833302969575524</v>
      </c>
    </row>
    <row r="5" spans="1:32" x14ac:dyDescent="0.25">
      <c r="A5" s="16">
        <v>3</v>
      </c>
      <c r="B5" s="10">
        <v>3</v>
      </c>
      <c r="C5" s="10" t="s">
        <v>5</v>
      </c>
      <c r="D5" s="10" t="s">
        <v>41</v>
      </c>
      <c r="E5" s="10" t="s">
        <v>45</v>
      </c>
      <c r="F5" s="10" t="s">
        <v>52</v>
      </c>
      <c r="G5" s="10" t="s">
        <v>45</v>
      </c>
      <c r="H5" s="10" t="s">
        <v>45</v>
      </c>
      <c r="I5" s="10">
        <v>68</v>
      </c>
      <c r="J5" s="10">
        <v>68</v>
      </c>
      <c r="K5" s="10">
        <v>0</v>
      </c>
      <c r="L5" s="66">
        <v>4.51</v>
      </c>
      <c r="M5" s="65">
        <v>87</v>
      </c>
      <c r="N5" s="37">
        <v>66.915957446808505</v>
      </c>
      <c r="O5" s="112"/>
      <c r="P5" s="31"/>
      <c r="Q5" s="10"/>
      <c r="R5" s="10"/>
      <c r="S5" s="10"/>
      <c r="T5" s="10"/>
      <c r="U5" s="10"/>
      <c r="V5" s="10"/>
      <c r="W5" s="10"/>
      <c r="X5" s="10"/>
      <c r="Y5" s="10"/>
      <c r="Z5" s="16"/>
      <c r="AA5" s="10"/>
      <c r="AB5" s="10"/>
      <c r="AC5" s="10"/>
      <c r="AD5" s="12"/>
    </row>
    <row r="6" spans="1:32" x14ac:dyDescent="0.25">
      <c r="A6" s="17">
        <v>4</v>
      </c>
      <c r="B6" s="11">
        <v>4</v>
      </c>
      <c r="C6" s="11" t="s">
        <v>5</v>
      </c>
      <c r="D6" s="11" t="s">
        <v>41</v>
      </c>
      <c r="E6" s="11" t="s">
        <v>45</v>
      </c>
      <c r="F6" s="11" t="s">
        <v>53</v>
      </c>
      <c r="G6" s="11" t="s">
        <v>45</v>
      </c>
      <c r="H6" s="11" t="s">
        <v>45</v>
      </c>
      <c r="I6" s="11">
        <v>125</v>
      </c>
      <c r="J6" s="11">
        <v>131</v>
      </c>
      <c r="K6" s="11">
        <v>0</v>
      </c>
      <c r="L6" s="67">
        <v>7.79</v>
      </c>
      <c r="M6" s="39">
        <v>220</v>
      </c>
      <c r="N6" s="11">
        <v>185.2</v>
      </c>
      <c r="O6" s="111"/>
      <c r="P6" s="33"/>
      <c r="Q6" s="9"/>
      <c r="R6" s="9"/>
      <c r="S6" s="9"/>
      <c r="T6" s="9"/>
      <c r="U6" s="9"/>
      <c r="V6" s="9"/>
      <c r="W6" s="9"/>
      <c r="X6" s="9"/>
      <c r="Y6" s="9"/>
      <c r="Z6" s="17"/>
      <c r="AA6" s="11"/>
      <c r="AB6" s="11"/>
      <c r="AC6" s="11"/>
      <c r="AD6" s="13"/>
    </row>
    <row r="7" spans="1:32" x14ac:dyDescent="0.25">
      <c r="A7" s="16">
        <v>9</v>
      </c>
      <c r="B7" s="10">
        <v>9</v>
      </c>
      <c r="C7" s="10" t="s">
        <v>5</v>
      </c>
      <c r="D7" s="10" t="s">
        <v>46</v>
      </c>
      <c r="E7" s="10">
        <v>10</v>
      </c>
      <c r="F7" s="10" t="s">
        <v>121</v>
      </c>
      <c r="G7" s="10">
        <v>140</v>
      </c>
      <c r="H7" s="10">
        <v>45</v>
      </c>
      <c r="I7" s="10">
        <v>63</v>
      </c>
      <c r="J7" s="10">
        <v>63.9</v>
      </c>
      <c r="K7" s="10">
        <v>0</v>
      </c>
      <c r="L7" s="66">
        <v>4.07</v>
      </c>
      <c r="M7" s="65">
        <v>101</v>
      </c>
      <c r="N7" s="10">
        <v>82.330200000000005</v>
      </c>
      <c r="O7" s="113">
        <v>108.90817980250898</v>
      </c>
      <c r="P7" s="51" t="s">
        <v>45</v>
      </c>
      <c r="Q7" s="28">
        <v>1.4213095142698784</v>
      </c>
      <c r="R7" s="28">
        <v>1.032028967890317</v>
      </c>
      <c r="S7" s="28">
        <v>1.4062594144064915</v>
      </c>
      <c r="T7" s="28" t="s">
        <v>45</v>
      </c>
      <c r="U7" s="28">
        <v>1.1446538027558719</v>
      </c>
      <c r="V7" s="28">
        <v>1.3011062343404189</v>
      </c>
      <c r="W7" s="28">
        <v>0.99575574711283177</v>
      </c>
      <c r="X7" s="28">
        <v>0.970401717082503</v>
      </c>
      <c r="Y7" s="28">
        <f>92/O7</f>
        <v>0.84474830234818177</v>
      </c>
      <c r="Z7" s="40">
        <v>1.1816450568369017</v>
      </c>
      <c r="AA7" s="28">
        <v>0.19368941879721294</v>
      </c>
      <c r="AB7" s="28">
        <v>1.1446538027558719</v>
      </c>
      <c r="AC7" s="28">
        <v>0.970401717082503</v>
      </c>
      <c r="AD7" s="29">
        <v>1.4213095142698784</v>
      </c>
    </row>
    <row r="8" spans="1:32" x14ac:dyDescent="0.25">
      <c r="A8" s="17">
        <v>8</v>
      </c>
      <c r="B8" s="11">
        <v>8</v>
      </c>
      <c r="C8" s="11" t="s">
        <v>5</v>
      </c>
      <c r="D8" s="11" t="s">
        <v>46</v>
      </c>
      <c r="E8" s="11">
        <v>15</v>
      </c>
      <c r="F8" s="11" t="s">
        <v>122</v>
      </c>
      <c r="G8" s="11">
        <v>160</v>
      </c>
      <c r="H8" s="11">
        <v>55</v>
      </c>
      <c r="I8" s="11">
        <v>67</v>
      </c>
      <c r="J8" s="11">
        <v>67.599999999999994</v>
      </c>
      <c r="K8" s="11">
        <v>0</v>
      </c>
      <c r="L8" s="67">
        <v>4.37</v>
      </c>
      <c r="M8" s="39">
        <v>155</v>
      </c>
      <c r="N8" s="11">
        <v>133.98400000000001</v>
      </c>
      <c r="O8" s="35">
        <v>177.17831600467738</v>
      </c>
      <c r="P8" s="52" t="s">
        <v>45</v>
      </c>
      <c r="Q8" s="53">
        <v>1.3541349527591544</v>
      </c>
      <c r="R8" s="53">
        <v>0.99401056003076471</v>
      </c>
      <c r="S8" s="53">
        <v>1.3728725316297838</v>
      </c>
      <c r="T8" s="53" t="s">
        <v>45</v>
      </c>
      <c r="U8" s="53">
        <v>1.0868574208735788</v>
      </c>
      <c r="V8" s="53">
        <v>1.2307807686704006</v>
      </c>
      <c r="W8" s="53">
        <v>0.95529046992572453</v>
      </c>
      <c r="X8" s="53">
        <v>0.93477365264747936</v>
      </c>
      <c r="Y8" s="53">
        <f>155/O8</f>
        <v>0.87482488543297876</v>
      </c>
      <c r="Z8" s="44">
        <v>1.1326743366481267</v>
      </c>
      <c r="AA8" s="45">
        <v>0.18633366084484917</v>
      </c>
      <c r="AB8" s="45">
        <v>1.0868574208735788</v>
      </c>
      <c r="AC8" s="45">
        <v>0.93477365264747936</v>
      </c>
      <c r="AD8" s="46">
        <v>1.3728725316297838</v>
      </c>
    </row>
    <row r="9" spans="1:32" x14ac:dyDescent="0.25">
      <c r="A9" s="16" t="s">
        <v>74</v>
      </c>
      <c r="B9" s="10">
        <v>5</v>
      </c>
      <c r="C9" s="10" t="s">
        <v>5</v>
      </c>
      <c r="D9" s="10" t="s">
        <v>46</v>
      </c>
      <c r="E9" s="10">
        <v>20</v>
      </c>
      <c r="F9" s="10" t="s">
        <v>123</v>
      </c>
      <c r="G9" s="10">
        <v>170</v>
      </c>
      <c r="H9" s="10">
        <v>70</v>
      </c>
      <c r="I9" s="10">
        <v>72</v>
      </c>
      <c r="J9" s="10">
        <v>72.400000000000006</v>
      </c>
      <c r="K9" s="10">
        <v>0</v>
      </c>
      <c r="L9" s="66">
        <v>4.7240000000000002</v>
      </c>
      <c r="M9" s="65">
        <v>161</v>
      </c>
      <c r="N9" s="10">
        <v>142.36860000000001</v>
      </c>
      <c r="O9" s="113">
        <v>185.68643319511085</v>
      </c>
      <c r="P9" s="51" t="s">
        <v>45</v>
      </c>
      <c r="Q9" s="28">
        <v>1.3555449555350478</v>
      </c>
      <c r="R9" s="28">
        <v>1.0102762564106058</v>
      </c>
      <c r="S9" s="28">
        <v>1.3584850972240772</v>
      </c>
      <c r="T9" s="28" t="s">
        <v>45</v>
      </c>
      <c r="U9" s="28">
        <v>1.080723412166654</v>
      </c>
      <c r="V9" s="28">
        <v>1.2211835518416787</v>
      </c>
      <c r="W9" s="28">
        <v>0.96064303303702592</v>
      </c>
      <c r="X9" s="28">
        <v>0.95021180818334106</v>
      </c>
      <c r="Y9" s="28">
        <f>161/O9</f>
        <v>0.86705311330326718</v>
      </c>
      <c r="Z9" s="40">
        <v>1.13386687348549</v>
      </c>
      <c r="AA9" s="28">
        <v>0.17750740399419787</v>
      </c>
      <c r="AB9" s="28">
        <v>1.080723412166654</v>
      </c>
      <c r="AC9" s="28">
        <v>0.95021180818334106</v>
      </c>
      <c r="AD9" s="29">
        <v>1.3584850972240772</v>
      </c>
    </row>
    <row r="10" spans="1:32" x14ac:dyDescent="0.25">
      <c r="A10" s="17">
        <v>6</v>
      </c>
      <c r="B10" s="11">
        <v>6</v>
      </c>
      <c r="C10" s="11" t="s">
        <v>5</v>
      </c>
      <c r="D10" s="11" t="s">
        <v>46</v>
      </c>
      <c r="E10" s="11">
        <v>25</v>
      </c>
      <c r="F10" s="11" t="s">
        <v>124</v>
      </c>
      <c r="G10" s="11">
        <v>170</v>
      </c>
      <c r="H10" s="11">
        <v>80</v>
      </c>
      <c r="I10" s="11">
        <v>78</v>
      </c>
      <c r="J10" s="11">
        <v>81.599999999999994</v>
      </c>
      <c r="K10" s="11">
        <v>0</v>
      </c>
      <c r="L10" s="67">
        <v>5.22</v>
      </c>
      <c r="M10" s="39">
        <v>212</v>
      </c>
      <c r="N10" s="11">
        <v>186.45400000000001</v>
      </c>
      <c r="O10" s="35">
        <v>240.0370162427877</v>
      </c>
      <c r="P10" s="52" t="s">
        <v>45</v>
      </c>
      <c r="Q10" s="53">
        <v>1.3376162542365075</v>
      </c>
      <c r="R10" s="53">
        <v>1.0015722498868467</v>
      </c>
      <c r="S10" s="53">
        <v>1.3511429587021839</v>
      </c>
      <c r="T10" s="53" t="s">
        <v>45</v>
      </c>
      <c r="U10" s="53">
        <v>1.0471357929941925</v>
      </c>
      <c r="V10" s="53">
        <v>1.1678192890638397</v>
      </c>
      <c r="W10" s="53">
        <v>0.96268935807530598</v>
      </c>
      <c r="X10" s="53">
        <v>0.94418620589085678</v>
      </c>
      <c r="Y10" s="53">
        <f>204/O10</f>
        <v>0.84986892102367362</v>
      </c>
      <c r="Z10" s="44">
        <v>1.1160231584071045</v>
      </c>
      <c r="AA10" s="45">
        <v>0.17221659420140034</v>
      </c>
      <c r="AB10" s="45">
        <v>1.0471357929941925</v>
      </c>
      <c r="AC10" s="45">
        <v>0.94418620589085678</v>
      </c>
      <c r="AD10" s="46">
        <v>1.3511429587021839</v>
      </c>
    </row>
    <row r="11" spans="1:32" x14ac:dyDescent="0.25">
      <c r="A11" s="16">
        <v>7</v>
      </c>
      <c r="B11" s="10">
        <v>7</v>
      </c>
      <c r="C11" s="10" t="s">
        <v>5</v>
      </c>
      <c r="D11" s="10" t="s">
        <v>46</v>
      </c>
      <c r="E11" s="10">
        <v>30</v>
      </c>
      <c r="F11" s="10" t="s">
        <v>125</v>
      </c>
      <c r="G11" s="10">
        <v>170</v>
      </c>
      <c r="H11" s="10">
        <v>90</v>
      </c>
      <c r="I11" s="10">
        <v>96</v>
      </c>
      <c r="J11" s="10">
        <v>98.3</v>
      </c>
      <c r="K11" s="10">
        <v>0</v>
      </c>
      <c r="L11" s="66">
        <v>6.12</v>
      </c>
      <c r="M11" s="65">
        <v>278</v>
      </c>
      <c r="N11" s="10">
        <v>247.19200000000001</v>
      </c>
      <c r="O11" s="113">
        <v>312.39103141753287</v>
      </c>
      <c r="P11" s="51" t="s">
        <v>45</v>
      </c>
      <c r="Q11" s="28">
        <v>1.296616843337818</v>
      </c>
      <c r="R11" s="28">
        <v>1.0069673451896437</v>
      </c>
      <c r="S11" s="28">
        <v>1.3265887068970303</v>
      </c>
      <c r="T11" s="28" t="s">
        <v>45</v>
      </c>
      <c r="U11" s="28">
        <v>1.0090004865773878</v>
      </c>
      <c r="V11" s="28">
        <v>1.1460481712477768</v>
      </c>
      <c r="W11" s="28">
        <v>0.9570904936988085</v>
      </c>
      <c r="X11" s="28">
        <v>0.95099106953557544</v>
      </c>
      <c r="Y11" s="28">
        <f>292/O11</f>
        <v>0.9347259384336204</v>
      </c>
      <c r="Z11" s="40">
        <v>1.0990433023548631</v>
      </c>
      <c r="AA11" s="28">
        <v>0.15899550675704896</v>
      </c>
      <c r="AB11" s="28">
        <v>1.0090004865773878</v>
      </c>
      <c r="AC11" s="28">
        <v>0.95099106953557544</v>
      </c>
      <c r="AD11" s="29">
        <v>1.3265887068970303</v>
      </c>
    </row>
    <row r="12" spans="1:32" x14ac:dyDescent="0.25">
      <c r="A12" s="17" t="s">
        <v>88</v>
      </c>
      <c r="B12" s="11">
        <v>10</v>
      </c>
      <c r="C12" s="11" t="s">
        <v>5</v>
      </c>
      <c r="D12" s="11" t="s">
        <v>42</v>
      </c>
      <c r="E12" s="11" t="s">
        <v>45</v>
      </c>
      <c r="F12" s="11" t="s">
        <v>5</v>
      </c>
      <c r="G12" s="11">
        <v>170</v>
      </c>
      <c r="H12" s="11">
        <v>75</v>
      </c>
      <c r="I12" s="11" t="s">
        <v>45</v>
      </c>
      <c r="J12" s="11" t="s">
        <v>45</v>
      </c>
      <c r="K12" s="11">
        <v>0</v>
      </c>
      <c r="L12" s="67" t="s">
        <v>45</v>
      </c>
      <c r="M12" s="39">
        <v>107</v>
      </c>
      <c r="N12" s="11" t="s">
        <v>45</v>
      </c>
      <c r="O12" s="35">
        <v>134.18369304059971</v>
      </c>
      <c r="P12" s="52" t="s">
        <v>45</v>
      </c>
      <c r="Q12" s="53">
        <v>1.1839382390706736</v>
      </c>
      <c r="R12" s="53">
        <v>0.85166294569565937</v>
      </c>
      <c r="S12" s="53">
        <v>1.2085087128515466</v>
      </c>
      <c r="T12" s="53" t="s">
        <v>45</v>
      </c>
      <c r="U12" s="53">
        <v>0.92904107300462646</v>
      </c>
      <c r="V12" s="53">
        <v>1.0486317718294553</v>
      </c>
      <c r="W12" s="53">
        <v>0.83840291954076041</v>
      </c>
      <c r="X12" s="53">
        <v>0.8488430920323391</v>
      </c>
      <c r="Y12" s="53">
        <f>95/O12</f>
        <v>0.70798468761219757</v>
      </c>
      <c r="Z12" s="44">
        <v>0.98700410771786573</v>
      </c>
      <c r="AA12" s="45">
        <v>0.16046444781973659</v>
      </c>
      <c r="AB12" s="45">
        <v>0.92904107300462646</v>
      </c>
      <c r="AC12" s="45">
        <v>0.83840291954076041</v>
      </c>
      <c r="AD12" s="46">
        <v>1.2085087128515466</v>
      </c>
    </row>
    <row r="13" spans="1:32" x14ac:dyDescent="0.25">
      <c r="A13" s="16">
        <v>11</v>
      </c>
      <c r="B13" s="10">
        <v>11</v>
      </c>
      <c r="C13" s="10" t="s">
        <v>16</v>
      </c>
      <c r="D13" s="10" t="s">
        <v>42</v>
      </c>
      <c r="E13" s="10" t="s">
        <v>45</v>
      </c>
      <c r="F13" s="10" t="s">
        <v>84</v>
      </c>
      <c r="G13" s="10">
        <v>170</v>
      </c>
      <c r="H13" s="10">
        <v>75</v>
      </c>
      <c r="I13" s="10" t="s">
        <v>45</v>
      </c>
      <c r="J13" s="10" t="s">
        <v>45</v>
      </c>
      <c r="K13" s="10">
        <v>0</v>
      </c>
      <c r="L13" s="66" t="s">
        <v>45</v>
      </c>
      <c r="M13" s="65">
        <v>104</v>
      </c>
      <c r="N13" s="37" t="s">
        <v>45</v>
      </c>
      <c r="O13" s="113">
        <v>110.62829720701795</v>
      </c>
      <c r="P13" s="51" t="s">
        <v>45</v>
      </c>
      <c r="Q13" s="28">
        <v>1.4322284846875457</v>
      </c>
      <c r="R13" s="28">
        <v>0.97021590355387333</v>
      </c>
      <c r="S13" s="28">
        <v>1.3843940205150114</v>
      </c>
      <c r="T13" s="28" t="s">
        <v>45</v>
      </c>
      <c r="U13" s="28">
        <v>1.1360174462461414</v>
      </c>
      <c r="V13" s="28">
        <v>0.71448750483905865</v>
      </c>
      <c r="W13" s="28">
        <v>0.99859598097443092</v>
      </c>
      <c r="X13" s="28">
        <v>0.96109519000695065</v>
      </c>
      <c r="Y13" s="28">
        <f>93/O13</f>
        <v>0.84065291022214472</v>
      </c>
      <c r="Z13" s="40">
        <v>1.0852906472604305</v>
      </c>
      <c r="AA13" s="28">
        <v>0.25366629749198172</v>
      </c>
      <c r="AB13" s="28">
        <v>0.99859598097443092</v>
      </c>
      <c r="AC13" s="28">
        <v>0.71448750483905865</v>
      </c>
      <c r="AD13" s="29">
        <v>1.4322284846875457</v>
      </c>
    </row>
    <row r="14" spans="1:32" x14ac:dyDescent="0.25">
      <c r="A14" s="17">
        <v>12</v>
      </c>
      <c r="B14" s="11">
        <v>12</v>
      </c>
      <c r="C14" s="11" t="s">
        <v>17</v>
      </c>
      <c r="D14" s="11" t="s">
        <v>42</v>
      </c>
      <c r="E14" s="11" t="s">
        <v>45</v>
      </c>
      <c r="F14" s="11" t="s">
        <v>85</v>
      </c>
      <c r="G14" s="11">
        <v>170</v>
      </c>
      <c r="H14" s="11">
        <v>75</v>
      </c>
      <c r="I14" s="11" t="s">
        <v>45</v>
      </c>
      <c r="J14" s="11" t="s">
        <v>45</v>
      </c>
      <c r="K14" s="11">
        <v>0</v>
      </c>
      <c r="L14" s="67" t="s">
        <v>45</v>
      </c>
      <c r="M14" s="39">
        <v>150</v>
      </c>
      <c r="N14" s="36" t="s">
        <v>45</v>
      </c>
      <c r="O14" s="35">
        <v>158.31638182185912</v>
      </c>
      <c r="P14" s="52" t="s">
        <v>45</v>
      </c>
      <c r="Q14" s="53">
        <v>1.4418414152306323</v>
      </c>
      <c r="R14" s="53">
        <v>0.99054701740390172</v>
      </c>
      <c r="S14" s="53">
        <v>1.3657223196239239</v>
      </c>
      <c r="T14" s="53" t="s">
        <v>45</v>
      </c>
      <c r="U14" s="53">
        <v>1.1459263838094487</v>
      </c>
      <c r="V14" s="53">
        <v>0.83156819877683141</v>
      </c>
      <c r="W14" s="53">
        <v>1.0050862695982312</v>
      </c>
      <c r="X14" s="53">
        <v>0.97034570809279785</v>
      </c>
      <c r="Y14" s="53">
        <f>133/O14</f>
        <v>0.84008994185866603</v>
      </c>
      <c r="Z14" s="44">
        <v>1.1072910446479667</v>
      </c>
      <c r="AA14" s="45">
        <v>0.22325451121027701</v>
      </c>
      <c r="AB14" s="45">
        <v>1.0050862695982312</v>
      </c>
      <c r="AC14" s="45">
        <v>0.83156819877683141</v>
      </c>
      <c r="AD14" s="46">
        <v>1.4418414152306323</v>
      </c>
    </row>
    <row r="15" spans="1:32" x14ac:dyDescent="0.25">
      <c r="A15" s="18">
        <v>13</v>
      </c>
      <c r="B15" s="14">
        <v>13</v>
      </c>
      <c r="C15" s="14" t="s">
        <v>40</v>
      </c>
      <c r="D15" s="14" t="s">
        <v>42</v>
      </c>
      <c r="E15" s="14" t="s">
        <v>45</v>
      </c>
      <c r="F15" s="14" t="s">
        <v>86</v>
      </c>
      <c r="G15" s="14">
        <v>170</v>
      </c>
      <c r="H15" s="14">
        <v>75</v>
      </c>
      <c r="I15" s="14" t="s">
        <v>45</v>
      </c>
      <c r="J15" s="14" t="s">
        <v>45</v>
      </c>
      <c r="K15" s="14">
        <v>0</v>
      </c>
      <c r="L15" s="68" t="s">
        <v>45</v>
      </c>
      <c r="M15" s="69">
        <v>125</v>
      </c>
      <c r="N15" s="38" t="s">
        <v>45</v>
      </c>
      <c r="O15" s="114">
        <v>189.700255195003</v>
      </c>
      <c r="P15" s="54" t="s">
        <v>45</v>
      </c>
      <c r="Q15" s="42">
        <v>1.1944163728545087</v>
      </c>
      <c r="R15" s="42" t="s">
        <v>45</v>
      </c>
      <c r="S15" s="42">
        <v>1.0922874457612506</v>
      </c>
      <c r="T15" s="42" t="s">
        <v>45</v>
      </c>
      <c r="U15" s="42" t="s">
        <v>45</v>
      </c>
      <c r="V15" s="42" t="s">
        <v>45</v>
      </c>
      <c r="W15" s="42">
        <v>1.2288233764814069</v>
      </c>
      <c r="X15" s="42">
        <v>1.4997106630301973</v>
      </c>
      <c r="Y15" s="42">
        <f>159/O15</f>
        <v>0.83816439696696998</v>
      </c>
      <c r="Z15" s="41">
        <v>1.2538094645318409</v>
      </c>
      <c r="AA15" s="42">
        <v>0.17388560023351546</v>
      </c>
      <c r="AB15" s="42">
        <v>1.2116198746679578</v>
      </c>
      <c r="AC15" s="42">
        <v>1.0922874457612506</v>
      </c>
      <c r="AD15" s="43">
        <v>1.4997106630301973</v>
      </c>
    </row>
    <row r="16" spans="1:32" x14ac:dyDescent="0.25">
      <c r="A16" s="57"/>
      <c r="B16" s="127" t="s">
        <v>39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8"/>
      <c r="N16" s="102" t="s">
        <v>136</v>
      </c>
      <c r="O16" s="103" t="s">
        <v>145</v>
      </c>
      <c r="P16" s="130" t="s">
        <v>66</v>
      </c>
      <c r="Q16" s="130"/>
      <c r="R16" s="130"/>
      <c r="S16" s="130"/>
      <c r="T16" s="130"/>
      <c r="U16" s="130"/>
      <c r="V16" s="130"/>
      <c r="W16" s="130"/>
      <c r="X16" s="130"/>
      <c r="Y16" s="118"/>
      <c r="Z16" s="122" t="s">
        <v>67</v>
      </c>
      <c r="AA16" s="123"/>
      <c r="AB16" s="123"/>
      <c r="AC16" s="123"/>
      <c r="AD16" s="124"/>
    </row>
    <row r="17" spans="1:30" x14ac:dyDescent="0.25">
      <c r="A17" s="11">
        <v>14</v>
      </c>
      <c r="B17" s="11">
        <v>100</v>
      </c>
      <c r="C17" s="11" t="s">
        <v>65</v>
      </c>
      <c r="D17" s="11" t="s">
        <v>42</v>
      </c>
      <c r="E17" s="11" t="s">
        <v>45</v>
      </c>
      <c r="F17" s="11" t="s">
        <v>116</v>
      </c>
      <c r="G17" s="11">
        <v>170</v>
      </c>
      <c r="H17" s="11">
        <v>75</v>
      </c>
      <c r="I17" s="11" t="s">
        <v>45</v>
      </c>
      <c r="J17" s="11" t="s">
        <v>45</v>
      </c>
      <c r="K17" s="11" t="s">
        <v>45</v>
      </c>
      <c r="L17" s="11" t="s">
        <v>45</v>
      </c>
      <c r="M17" s="11">
        <v>500</v>
      </c>
      <c r="N17" s="35" t="s">
        <v>45</v>
      </c>
      <c r="O17" s="35">
        <v>306.03283323580877</v>
      </c>
      <c r="P17" s="58" t="s">
        <v>45</v>
      </c>
      <c r="Q17" s="53">
        <v>1.5503522975153583</v>
      </c>
      <c r="R17" s="53">
        <v>1.1277421526212341</v>
      </c>
      <c r="S17" s="53">
        <v>1.4424643159163768</v>
      </c>
      <c r="T17" s="53" t="s">
        <v>45</v>
      </c>
      <c r="U17" s="45">
        <v>1.2684118614703443</v>
      </c>
      <c r="V17" s="45">
        <v>1.4025297531501311</v>
      </c>
      <c r="W17" s="45">
        <v>1.4505597789138667</v>
      </c>
      <c r="X17" s="62">
        <v>1.1049571040392083</v>
      </c>
      <c r="Y17" s="45">
        <f>321/O17</f>
        <v>1.0489070620493146</v>
      </c>
      <c r="Z17" s="44">
        <v>1.3352881805180741</v>
      </c>
      <c r="AA17" s="45">
        <v>0.17134199205221892</v>
      </c>
      <c r="AB17" s="45">
        <v>1.4025297531501311</v>
      </c>
      <c r="AC17" s="45">
        <v>1.1049571040392083</v>
      </c>
      <c r="AD17" s="46">
        <v>1.5503522975153583</v>
      </c>
    </row>
    <row r="18" spans="1:30" x14ac:dyDescent="0.25">
      <c r="A18" s="49">
        <v>15</v>
      </c>
      <c r="B18" s="49">
        <v>101</v>
      </c>
      <c r="C18" s="10" t="s">
        <v>65</v>
      </c>
      <c r="D18" s="10" t="s">
        <v>42</v>
      </c>
      <c r="E18" s="10" t="s">
        <v>45</v>
      </c>
      <c r="F18" s="10" t="s">
        <v>117</v>
      </c>
      <c r="G18" s="50">
        <v>170</v>
      </c>
      <c r="H18" s="50">
        <v>75</v>
      </c>
      <c r="I18" s="50" t="s">
        <v>45</v>
      </c>
      <c r="J18" s="50" t="s">
        <v>45</v>
      </c>
      <c r="K18" s="50" t="s">
        <v>45</v>
      </c>
      <c r="L18" s="50" t="s">
        <v>45</v>
      </c>
      <c r="M18" s="56">
        <v>500</v>
      </c>
      <c r="N18" s="64" t="s">
        <v>45</v>
      </c>
      <c r="O18" s="115">
        <v>307.92728707036952</v>
      </c>
      <c r="P18" s="73" t="s">
        <v>45</v>
      </c>
      <c r="Q18" s="71">
        <v>1.159280802342751</v>
      </c>
      <c r="R18" s="71">
        <v>1.145877165365381</v>
      </c>
      <c r="S18" s="71">
        <v>1.1410205139470422</v>
      </c>
      <c r="T18" s="71" t="s">
        <v>45</v>
      </c>
      <c r="U18" s="71">
        <v>1.4910066138981057</v>
      </c>
      <c r="V18" s="71">
        <v>1.0335909486450401</v>
      </c>
      <c r="W18" s="71">
        <v>1.2803566728617291</v>
      </c>
      <c r="X18" s="72">
        <v>1.1309853848115592</v>
      </c>
      <c r="Y18" s="71">
        <f>319/O18</f>
        <v>1.0359588558551489</v>
      </c>
      <c r="Z18" s="40">
        <v>1.1974454431245154</v>
      </c>
      <c r="AA18" s="28">
        <v>0.14810878176997266</v>
      </c>
      <c r="AB18" s="28">
        <v>1.145877165365381</v>
      </c>
      <c r="AC18" s="28">
        <v>1.0335909486450401</v>
      </c>
      <c r="AD18" s="29">
        <v>1.4910066138981057</v>
      </c>
    </row>
    <row r="19" spans="1:30" x14ac:dyDescent="0.25">
      <c r="A19" s="11">
        <v>16</v>
      </c>
      <c r="B19" s="11">
        <v>102</v>
      </c>
      <c r="C19" s="11" t="s">
        <v>65</v>
      </c>
      <c r="D19" s="11" t="s">
        <v>42</v>
      </c>
      <c r="E19" s="11" t="s">
        <v>45</v>
      </c>
      <c r="F19" s="11" t="s">
        <v>118</v>
      </c>
      <c r="G19" s="11">
        <v>170</v>
      </c>
      <c r="H19" s="11">
        <v>75</v>
      </c>
      <c r="I19" s="11" t="s">
        <v>45</v>
      </c>
      <c r="J19" s="11" t="s">
        <v>45</v>
      </c>
      <c r="K19" s="11" t="s">
        <v>45</v>
      </c>
      <c r="L19" s="11" t="s">
        <v>45</v>
      </c>
      <c r="M19" s="11">
        <v>501</v>
      </c>
      <c r="N19" s="35" t="s">
        <v>45</v>
      </c>
      <c r="O19" s="35">
        <v>274.29645867400808</v>
      </c>
      <c r="P19" s="58" t="s">
        <v>45</v>
      </c>
      <c r="Q19" s="53">
        <v>0.85807627245159857</v>
      </c>
      <c r="R19" s="53">
        <v>1.2104523047919278</v>
      </c>
      <c r="S19" s="53">
        <v>1.3907561077372401</v>
      </c>
      <c r="T19" s="53" t="s">
        <v>45</v>
      </c>
      <c r="U19" s="45">
        <v>1.3768485466598674</v>
      </c>
      <c r="V19" s="45">
        <v>1.1083467309505046</v>
      </c>
      <c r="W19" s="45">
        <v>1.2377729358861436</v>
      </c>
      <c r="X19" s="46">
        <v>1.1715147322563386</v>
      </c>
      <c r="Y19" s="45">
        <f>290/O19</f>
        <v>1.057250251796561</v>
      </c>
      <c r="Z19" s="44">
        <v>1.1933953758190887</v>
      </c>
      <c r="AA19" s="45">
        <v>0.18028568379943208</v>
      </c>
      <c r="AB19" s="45">
        <v>1.2104523047919278</v>
      </c>
      <c r="AC19" s="45">
        <v>0.85807627245159857</v>
      </c>
      <c r="AD19" s="46">
        <v>1.3907561077372401</v>
      </c>
    </row>
  </sheetData>
  <mergeCells count="6">
    <mergeCell ref="B1:M1"/>
    <mergeCell ref="P1:W1"/>
    <mergeCell ref="Z1:AD1"/>
    <mergeCell ref="B16:M16"/>
    <mergeCell ref="Z16:AD16"/>
    <mergeCell ref="P16:X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8</vt:i4>
      </vt:variant>
    </vt:vector>
  </HeadingPairs>
  <TitlesOfParts>
    <vt:vector size="14" baseType="lpstr">
      <vt:lpstr>File_description</vt:lpstr>
      <vt:lpstr>Protocol</vt:lpstr>
      <vt:lpstr>GE</vt:lpstr>
      <vt:lpstr>Siemens</vt:lpstr>
      <vt:lpstr>Canon</vt:lpstr>
      <vt:lpstr>Philips</vt:lpstr>
      <vt:lpstr>GE_MSD PMMA</vt:lpstr>
      <vt:lpstr>GE_MSD RA_ALL</vt:lpstr>
      <vt:lpstr>Siemens_MSD_PMMA</vt:lpstr>
      <vt:lpstr>Siemens_MSD_RA</vt:lpstr>
      <vt:lpstr>Canon_MSD PMMA</vt:lpstr>
      <vt:lpstr>Canon_MSD RA</vt:lpstr>
      <vt:lpstr>Philips_MSD_PMMA</vt:lpstr>
      <vt:lpstr>Philips_MSD_RA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2025-05-23T02:02:35Z</dcterms:modified>
</cp:coreProperties>
</file>